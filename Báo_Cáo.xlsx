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So Sánh Sản Lượng" sheetId="1" state="visible" r:id="rId1"/>
    <sheet xmlns:r="http://schemas.openxmlformats.org/officeDocument/2006/relationships" name="Cảnh Báo Rủi Ro QA-Q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.00;-#,##0.00;0.00"/>
    <numFmt numFmtId="165" formatCode="0.0%"/>
    <numFmt numFmtId="166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2CC"/>
        <bgColor rgb="00FFF2CC"/>
      </patternFill>
    </fill>
    <fill>
      <patternFill patternType="solid">
        <fgColor rgb="00FFD9D9"/>
        <bgColor rgb="00FFD9D9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right" vertical="center"/>
    </xf>
    <xf numFmtId="164" fontId="4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4" fontId="4" fillId="4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0" fontId="6" fillId="5" borderId="3" applyAlignment="1" pivotButton="0" quotePrefix="0" xfId="0">
      <alignment horizontal="center" vertical="center"/>
    </xf>
    <xf numFmtId="0" fontId="6" fillId="5" borderId="3" pivotButton="0" quotePrefix="0" xfId="0"/>
    <xf numFmtId="4" fontId="6" fillId="5" borderId="3" applyAlignment="1" pivotButton="0" quotePrefix="0" xfId="0">
      <alignment horizontal="right" vertical="center"/>
    </xf>
    <xf numFmtId="164" fontId="6" fillId="5" borderId="3" applyAlignment="1" pivotButton="0" quotePrefix="0" xfId="0">
      <alignment horizontal="right" vertical="center"/>
    </xf>
    <xf numFmtId="165" fontId="6" fillId="5" borderId="3" applyAlignment="1" pivotButton="0" quotePrefix="0" xfId="0">
      <alignment horizontal="right" vertical="center"/>
    </xf>
    <xf numFmtId="166" fontId="6" fillId="5" borderId="3" applyAlignment="1" pivotButton="0" quotePrefix="0" xfId="0">
      <alignment horizontal="right" vertical="center"/>
    </xf>
    <xf numFmtId="0" fontId="1" fillId="0" borderId="0" pivotButton="0" quotePrefix="0" xfId="0"/>
    <xf numFmtId="0" fontId="3" fillId="2" borderId="0" pivotButton="0" quotePrefix="0" xfId="0"/>
    <xf numFmtId="0" fontId="6" fillId="0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2" customWidth="1" min="2" max="2"/>
    <col width="18" customWidth="1" min="3" max="3"/>
    <col width="38" customWidth="1" min="4" max="4"/>
    <col width="18" customWidth="1" min="5" max="5"/>
    <col width="18" customWidth="1" min="6" max="6"/>
    <col width="22" customWidth="1" min="7" max="7"/>
    <col width="18" customWidth="1" min="8" max="8"/>
    <col width="22" customWidth="1" min="9" max="9"/>
    <col width="16" customWidth="1" min="10" max="10"/>
    <col width="65" customWidth="1" min="11" max="11"/>
  </cols>
  <sheetData>
    <row r="1" ht="30" customHeight="1">
      <c r="A1" s="1" t="inlineStr">
        <is>
          <t>BÁO CÁO PHÂN TÍCH TIẾN ĐỘ SẢN XUẤT VÀ KIỂM SOÁT NGUYÊN VẬT LIỆU</t>
        </is>
      </c>
    </row>
    <row r="2" ht="20" customHeight="1">
      <c r="A2" s="2" t="inlineStr">
        <is>
          <t>Dữ liệu kiểm toán 144 phiếu công nghệ (07/09/2026 - 12/09/2026) | Nhà máy Sơn Công Nghiệp &amp; Hàng Hải</t>
        </is>
      </c>
    </row>
    <row r="4" ht="35" customHeight="1">
      <c r="A4" s="3" t="inlineStr">
        <is>
          <t>STT</t>
        </is>
      </c>
      <c r="B4" s="3" t="inlineStr">
        <is>
          <t>Mã phiếu / Số batch</t>
        </is>
      </c>
      <c r="C4" s="3" t="inlineStr">
        <is>
          <t>Mã sơn</t>
        </is>
      </c>
      <c r="D4" s="4" t="inlineStr">
        <is>
          <t>Tên sản phẩm</t>
        </is>
      </c>
      <c r="E4" s="5" t="inlineStr">
        <is>
          <t>SL yêu cầu (A)
[Lít/Kg]</t>
        </is>
      </c>
      <c r="F4" s="5" t="inlineStr">
        <is>
          <t>SL thực tế (B)
[Lít/Kg]</t>
        </is>
      </c>
      <c r="G4" s="5" t="inlineStr">
        <is>
          <t>Chênh lệch (C = B - A)
[Lít/Kg]</t>
        </is>
      </c>
      <c r="H4" s="5" t="inlineStr">
        <is>
          <t>Tỷ lệ đạt (%)
(D = B/A * 100%)</t>
        </is>
      </c>
      <c r="I4" s="5" t="inlineStr">
        <is>
          <t>Dung môi bẩn sử dụng
(kg)</t>
        </is>
      </c>
      <c r="J4" s="6" t="inlineStr">
        <is>
          <t>Sửa phiếu BGD/
Quản đốc</t>
        </is>
      </c>
      <c r="K4" s="4" t="inlineStr">
        <is>
          <t>Ghi chú nội dung chỉnh sửa</t>
        </is>
      </c>
    </row>
    <row r="5" ht="20" customHeight="1">
      <c r="A5" s="7" t="n">
        <v>1</v>
      </c>
      <c r="B5" s="7" t="inlineStr">
        <is>
          <t>CD-0017</t>
        </is>
      </c>
      <c r="C5" s="7" t="inlineStr">
        <is>
          <t>DREDDL1L2</t>
        </is>
      </c>
      <c r="D5" s="8" t="inlineStr"/>
      <c r="E5" s="9" t="n">
        <v>52</v>
      </c>
      <c r="F5" s="9" t="n">
        <v>52</v>
      </c>
      <c r="G5" s="10">
        <f>F5-E5</f>
        <v/>
      </c>
      <c r="H5" s="11">
        <f>IF(E5&gt;0, F5/E5, 1)</f>
        <v/>
      </c>
      <c r="I5" s="12" t="n">
        <v>0</v>
      </c>
      <c r="J5" s="13" t="inlineStr">
        <is>
          <t>Có</t>
        </is>
      </c>
      <c r="K5" s="8" t="inlineStr">
        <is>
          <t>Phiếu chuyển đổi nhãn mác DREDDL1L2</t>
        </is>
      </c>
    </row>
    <row r="6" ht="20" customHeight="1">
      <c r="A6" s="7" t="n">
        <v>2</v>
      </c>
      <c r="B6" s="7" t="inlineStr">
        <is>
          <t>CD-0019</t>
        </is>
      </c>
      <c r="C6" s="7" t="inlineStr">
        <is>
          <t>THA1101</t>
        </is>
      </c>
      <c r="D6" s="8" t="inlineStr"/>
      <c r="E6" s="9" t="n">
        <v>200</v>
      </c>
      <c r="F6" s="9" t="n">
        <v>200</v>
      </c>
      <c r="G6" s="10">
        <f>F6-E6</f>
        <v/>
      </c>
      <c r="H6" s="11">
        <f>IF(E6&gt;0, F6/E6, 1)</f>
        <v/>
      </c>
      <c r="I6" s="12" t="n">
        <v>0</v>
      </c>
      <c r="J6" s="13" t="inlineStr">
        <is>
          <t>Có</t>
        </is>
      </c>
      <c r="K6" s="8" t="inlineStr">
        <is>
          <t>Phiếu chuyển đổi nhãn: Thay tem sang THA1101 (10 thùng 20L)</t>
        </is>
      </c>
    </row>
    <row r="7" ht="20" customHeight="1">
      <c r="A7" s="7" t="n">
        <v>3</v>
      </c>
      <c r="B7" s="7" t="inlineStr">
        <is>
          <t>CD-0021</t>
        </is>
      </c>
      <c r="C7" s="7" t="inlineStr">
        <is>
          <t>AC3151</t>
        </is>
      </c>
      <c r="D7" s="8" t="inlineStr"/>
      <c r="E7" s="9" t="n">
        <v>180</v>
      </c>
      <c r="F7" s="9" t="n">
        <v>180</v>
      </c>
      <c r="G7" s="10">
        <f>F7-E7</f>
        <v/>
      </c>
      <c r="H7" s="11">
        <f>IF(E7&gt;0, F7/E7, 1)</f>
        <v/>
      </c>
      <c r="I7" s="12" t="n">
        <v>0</v>
      </c>
      <c r="J7" s="13" t="inlineStr">
        <is>
          <t>Có</t>
        </is>
      </c>
      <c r="K7" s="8" t="inlineStr">
        <is>
          <t>Phiếu chuyển đổi nhãn: Thay tem nắp từ AC3151 sang AC3151N (9 thùng 20L)</t>
        </is>
      </c>
    </row>
    <row r="8" ht="20" customHeight="1">
      <c r="A8" s="7" t="n">
        <v>4</v>
      </c>
      <c r="B8" s="7" t="inlineStr">
        <is>
          <t>CD-0023</t>
        </is>
      </c>
      <c r="C8" s="7" t="inlineStr">
        <is>
          <t>SC01</t>
        </is>
      </c>
      <c r="D8" s="8" t="inlineStr"/>
      <c r="E8" s="9" t="n">
        <v>20</v>
      </c>
      <c r="F8" s="9" t="n">
        <v>20</v>
      </c>
      <c r="G8" s="10">
        <f>F8-E8</f>
        <v/>
      </c>
      <c r="H8" s="11">
        <f>IF(E8&gt;0, F8/E8, 1)</f>
        <v/>
      </c>
      <c r="I8" s="12" t="n">
        <v>0</v>
      </c>
      <c r="J8" s="13" t="inlineStr">
        <is>
          <t>Có</t>
        </is>
      </c>
      <c r="K8" s="8" t="inlineStr">
        <is>
          <t>Phiếu chuyển đổi nhãn: Thay tem đổi sang AMC01-5L (4 can 5L)</t>
        </is>
      </c>
    </row>
    <row r="9" ht="20" customHeight="1">
      <c r="A9" s="7" t="n">
        <v>5</v>
      </c>
      <c r="B9" s="7" t="inlineStr">
        <is>
          <t>CD-0024</t>
        </is>
      </c>
      <c r="C9" s="7" t="inlineStr">
        <is>
          <t>AC3254</t>
        </is>
      </c>
      <c r="D9" s="8" t="inlineStr"/>
      <c r="E9" s="9" t="n">
        <v>40</v>
      </c>
      <c r="F9" s="9" t="n">
        <v>40</v>
      </c>
      <c r="G9" s="10">
        <f>F9-E9</f>
        <v/>
      </c>
      <c r="H9" s="11">
        <f>IF(E9&gt;0, F9/E9, 1)</f>
        <v/>
      </c>
      <c r="I9" s="12" t="n">
        <v>0</v>
      </c>
      <c r="J9" s="13" t="inlineStr">
        <is>
          <t>Có</t>
        </is>
      </c>
      <c r="K9" s="8" t="inlineStr">
        <is>
          <t>Phiếu chuyển đổi nhãn: Thay tem nắp sang AC3254N (2 thùng 20L)</t>
        </is>
      </c>
    </row>
    <row r="10" ht="20" customHeight="1">
      <c r="A10" s="7" t="n">
        <v>6</v>
      </c>
      <c r="B10" s="7" t="inlineStr">
        <is>
          <t>SX-0280</t>
        </is>
      </c>
      <c r="C10" s="7" t="inlineStr">
        <is>
          <t>ET01-MC</t>
        </is>
      </c>
      <c r="D10" s="8" t="inlineStr">
        <is>
          <t>Thinner for Epoxy and PU</t>
        </is>
      </c>
      <c r="E10" s="9" t="n">
        <v>950</v>
      </c>
      <c r="F10" s="9" t="n">
        <v>950</v>
      </c>
      <c r="G10" s="14">
        <f>F10-E10</f>
        <v/>
      </c>
      <c r="H10" s="15">
        <f>IF(E10&gt;0, F10/E10, 1)</f>
        <v/>
      </c>
      <c r="I10" s="12" t="n">
        <v>0</v>
      </c>
      <c r="J10" s="7" t="inlineStr">
        <is>
          <t>Không</t>
        </is>
      </c>
      <c r="K10" s="8" t="inlineStr">
        <is>
          <t>Sản xuất đúng định mức và quy trình công nghệ</t>
        </is>
      </c>
    </row>
    <row r="11" ht="20" customHeight="1">
      <c r="A11" s="7" t="n">
        <v>7</v>
      </c>
      <c r="B11" s="7" t="inlineStr">
        <is>
          <t>SX-0322</t>
        </is>
      </c>
      <c r="C11" s="7" t="inlineStr">
        <is>
          <t>SV750</t>
        </is>
      </c>
      <c r="D11" s="8" t="inlineStr"/>
      <c r="E11" s="9" t="n">
        <v>1980</v>
      </c>
      <c r="F11" s="9" t="n">
        <v>1980</v>
      </c>
      <c r="G11" s="14">
        <f>F11-E11</f>
        <v/>
      </c>
      <c r="H11" s="15">
        <f>IF(E11&gt;0, F11/E11, 1)</f>
        <v/>
      </c>
      <c r="I11" s="12" t="n">
        <v>0</v>
      </c>
      <c r="J11" s="7" t="inlineStr">
        <is>
          <t>Không</t>
        </is>
      </c>
      <c r="K11" s="8" t="inlineStr">
        <is>
          <t>Sản xuất đúng định mức và quy trình công nghệ</t>
        </is>
      </c>
    </row>
    <row r="12" ht="20" customHeight="1">
      <c r="A12" s="7" t="n">
        <v>8</v>
      </c>
      <c r="B12" s="7" t="inlineStr">
        <is>
          <t>SX-0361</t>
        </is>
      </c>
      <c r="C12" s="7" t="inlineStr">
        <is>
          <t>EH1151MC</t>
        </is>
      </c>
      <c r="D12" s="8" t="inlineStr"/>
      <c r="E12" s="9" t="n">
        <v>1470</v>
      </c>
      <c r="F12" s="9" t="n">
        <v>1470</v>
      </c>
      <c r="G12" s="14">
        <f>F12-E12</f>
        <v/>
      </c>
      <c r="H12" s="15">
        <f>IF(E12&gt;0, F12/E12, 1)</f>
        <v/>
      </c>
      <c r="I12" s="12" t="n">
        <v>0</v>
      </c>
      <c r="J12" s="7" t="inlineStr">
        <is>
          <t>Không</t>
        </is>
      </c>
      <c r="K12" s="8" t="inlineStr">
        <is>
          <t>Sản xuất đúng định mức và quy trình công nghệ</t>
        </is>
      </c>
    </row>
    <row r="13" ht="20" customHeight="1">
      <c r="A13" s="7" t="n">
        <v>9</v>
      </c>
      <c r="B13" s="7" t="inlineStr">
        <is>
          <t>SX-0374</t>
        </is>
      </c>
      <c r="C13" s="7" t="inlineStr">
        <is>
          <t>GF1253MC</t>
        </is>
      </c>
      <c r="D13" s="8" t="inlineStr"/>
      <c r="E13" s="9" t="n">
        <v>1008</v>
      </c>
      <c r="F13" s="9" t="n">
        <v>1904</v>
      </c>
      <c r="G13" s="10">
        <f>F13-E13</f>
        <v/>
      </c>
      <c r="H13" s="11">
        <f>IF(E13&gt;0, F13/E13, 1)</f>
        <v/>
      </c>
      <c r="I13" s="12" t="n">
        <v>0</v>
      </c>
      <c r="J13" s="13" t="inlineStr">
        <is>
          <t>Có</t>
        </is>
      </c>
      <c r="K13" s="8" t="inlineStr">
        <is>
          <t>Tái chế 1.561 kg sơn tồn cũ (Lô 7: 29x16L, Lô 6: 26x16L, Lô 5: 7x16L); sản lượng tăng vọt +896L (+88.9%)</t>
        </is>
      </c>
    </row>
    <row r="14" ht="20" customHeight="1">
      <c r="A14" s="7" t="n">
        <v>10</v>
      </c>
      <c r="B14" s="7" t="inlineStr">
        <is>
          <t>SX-0376</t>
        </is>
      </c>
      <c r="C14" s="7" t="inlineStr">
        <is>
          <t>EI3150</t>
        </is>
      </c>
      <c r="D14" s="8" t="inlineStr"/>
      <c r="E14" s="9" t="n">
        <v>7297</v>
      </c>
      <c r="F14" s="9" t="n">
        <v>7297</v>
      </c>
      <c r="G14" s="14">
        <f>F14-E14</f>
        <v/>
      </c>
      <c r="H14" s="15">
        <f>IF(E14&gt;0, F14/E14, 1)</f>
        <v/>
      </c>
      <c r="I14" s="12" t="n">
        <v>0</v>
      </c>
      <c r="J14" s="7" t="inlineStr">
        <is>
          <t>Không</t>
        </is>
      </c>
      <c r="K14" s="8" t="inlineStr">
        <is>
          <t>Sản xuất đúng định mức và quy trình công nghệ</t>
        </is>
      </c>
    </row>
    <row r="15" ht="20" customHeight="1">
      <c r="A15" s="7" t="n">
        <v>11</v>
      </c>
      <c r="B15" s="7" t="inlineStr">
        <is>
          <t>SX-0381</t>
        </is>
      </c>
      <c r="C15" s="7" t="inlineStr">
        <is>
          <t>DRGF01</t>
        </is>
      </c>
      <c r="D15" s="8" t="inlineStr"/>
      <c r="E15" s="9" t="n">
        <v>580</v>
      </c>
      <c r="F15" s="9" t="n">
        <v>580</v>
      </c>
      <c r="G15" s="14">
        <f>F15-E15</f>
        <v/>
      </c>
      <c r="H15" s="15">
        <f>IF(E15&gt;0, F15/E15, 1)</f>
        <v/>
      </c>
      <c r="I15" s="12" t="n">
        <v>0</v>
      </c>
      <c r="J15" s="7" t="inlineStr">
        <is>
          <t>Không</t>
        </is>
      </c>
      <c r="K15" s="8" t="inlineStr">
        <is>
          <t>Sản xuất đúng định mức và quy trình công nghệ</t>
        </is>
      </c>
    </row>
    <row r="16" ht="20" customHeight="1">
      <c r="A16" s="7" t="n">
        <v>12</v>
      </c>
      <c r="B16" s="7" t="inlineStr">
        <is>
          <t>SX-0382</t>
        </is>
      </c>
      <c r="C16" s="7" t="inlineStr">
        <is>
          <t>DRGF01</t>
        </is>
      </c>
      <c r="D16" s="8" t="inlineStr"/>
      <c r="E16" s="9" t="n">
        <v>580</v>
      </c>
      <c r="F16" s="9" t="n">
        <v>580</v>
      </c>
      <c r="G16" s="14">
        <f>F16-E16</f>
        <v/>
      </c>
      <c r="H16" s="15">
        <f>IF(E16&gt;0, F16/E16, 1)</f>
        <v/>
      </c>
      <c r="I16" s="12" t="n">
        <v>0</v>
      </c>
      <c r="J16" s="7" t="inlineStr">
        <is>
          <t>Không</t>
        </is>
      </c>
      <c r="K16" s="8" t="inlineStr">
        <is>
          <t>Sản xuất đúng định mức và quy trình công nghệ</t>
        </is>
      </c>
    </row>
    <row r="17" ht="20" customHeight="1">
      <c r="A17" s="7" t="n">
        <v>13</v>
      </c>
      <c r="B17" s="7" t="inlineStr">
        <is>
          <t>SX-0383</t>
        </is>
      </c>
      <c r="C17" s="7" t="inlineStr">
        <is>
          <t>PUZN9016RAL</t>
        </is>
      </c>
      <c r="D17" s="8" t="inlineStr">
        <is>
          <t>Sơn PU kẽm màu trắng</t>
        </is>
      </c>
      <c r="E17" s="9" t="n">
        <v>80</v>
      </c>
      <c r="F17" s="9" t="n">
        <v>80</v>
      </c>
      <c r="G17" s="14">
        <f>F17-E17</f>
        <v/>
      </c>
      <c r="H17" s="15">
        <f>IF(E17&gt;0, F17/E17, 1)</f>
        <v/>
      </c>
      <c r="I17" s="12" t="n">
        <v>0</v>
      </c>
      <c r="J17" s="7" t="inlineStr">
        <is>
          <t>Không</t>
        </is>
      </c>
      <c r="K17" s="8" t="inlineStr">
        <is>
          <t>Sản xuất đúng định mức và quy trình công nghệ</t>
        </is>
      </c>
    </row>
    <row r="18" ht="20" customHeight="1">
      <c r="A18" s="7" t="n">
        <v>14</v>
      </c>
      <c r="B18" s="7" t="inlineStr">
        <is>
          <t>SX-0385</t>
        </is>
      </c>
      <c r="C18" s="7" t="inlineStr">
        <is>
          <t>GF1253MC</t>
        </is>
      </c>
      <c r="D18" s="8" t="inlineStr"/>
      <c r="E18" s="9" t="n">
        <v>1008</v>
      </c>
      <c r="F18" s="9" t="n">
        <v>1984</v>
      </c>
      <c r="G18" s="10">
        <f>F18-E18</f>
        <v/>
      </c>
      <c r="H18" s="11">
        <f>IF(E18&gt;0, F18/E18, 1)</f>
        <v/>
      </c>
      <c r="I18" s="12" t="n">
        <v>0</v>
      </c>
      <c r="J18" s="13" t="inlineStr">
        <is>
          <t>Có</t>
        </is>
      </c>
      <c r="K18" s="8" t="inlineStr">
        <is>
          <t>Ghi chú tay: 'Tái 1000L GF1253-MC bị đông' (1.537kg + 4 can 16L); DM GF nạp 83kg (vượt định mức 53kg); sản lượng vọt +976L (+96.8%)</t>
        </is>
      </c>
    </row>
    <row r="19" ht="20" customHeight="1">
      <c r="A19" s="7" t="n">
        <v>15</v>
      </c>
      <c r="B19" s="7" t="inlineStr">
        <is>
          <t>SX-0388</t>
        </is>
      </c>
      <c r="C19" s="7" t="inlineStr">
        <is>
          <t>PUZN5012RAL</t>
        </is>
      </c>
      <c r="D19" s="8" t="inlineStr"/>
      <c r="E19" s="9" t="n">
        <v>224</v>
      </c>
      <c r="F19" s="9" t="n">
        <v>224</v>
      </c>
      <c r="G19" s="14">
        <f>F19-E19</f>
        <v/>
      </c>
      <c r="H19" s="15">
        <f>IF(E19&gt;0, F19/E19, 1)</f>
        <v/>
      </c>
      <c r="I19" s="12" t="n">
        <v>0</v>
      </c>
      <c r="J19" s="7" t="inlineStr">
        <is>
          <t>Không</t>
        </is>
      </c>
      <c r="K19" s="8" t="inlineStr">
        <is>
          <t>Sản xuất đúng định mức và quy trình công nghệ</t>
        </is>
      </c>
    </row>
    <row r="20" ht="20" customHeight="1">
      <c r="A20" s="7" t="n">
        <v>16</v>
      </c>
      <c r="B20" s="7" t="inlineStr">
        <is>
          <t>SX-0394</t>
        </is>
      </c>
      <c r="C20" s="7" t="inlineStr">
        <is>
          <t>BTP</t>
        </is>
      </c>
      <c r="D20" s="8" t="inlineStr"/>
      <c r="E20" s="9" t="n">
        <v>1260</v>
      </c>
      <c r="F20" s="9" t="n">
        <v>1260</v>
      </c>
      <c r="G20" s="14">
        <f>F20-E20</f>
        <v/>
      </c>
      <c r="H20" s="15">
        <f>IF(E20&gt;0, F20/E20, 1)</f>
        <v/>
      </c>
      <c r="I20" s="12" t="n">
        <v>0</v>
      </c>
      <c r="J20" s="7" t="inlineStr">
        <is>
          <t>Không</t>
        </is>
      </c>
      <c r="K20" s="8" t="inlineStr">
        <is>
          <t>Sản xuất đúng định mức và quy trình công nghệ</t>
        </is>
      </c>
    </row>
    <row r="21" ht="20" customHeight="1">
      <c r="A21" s="7" t="n">
        <v>17</v>
      </c>
      <c r="B21" s="7" t="inlineStr">
        <is>
          <t>SX-0395</t>
        </is>
      </c>
      <c r="C21" s="7" t="inlineStr">
        <is>
          <t>ET01-MC</t>
        </is>
      </c>
      <c r="D21" s="8" t="inlineStr">
        <is>
          <t>Thinner for Epoxy and PU</t>
        </is>
      </c>
      <c r="E21" s="9" t="n">
        <v>950</v>
      </c>
      <c r="F21" s="9" t="n">
        <v>950</v>
      </c>
      <c r="G21" s="14">
        <f>F21-E21</f>
        <v/>
      </c>
      <c r="H21" s="15">
        <f>IF(E21&gt;0, F21/E21, 1)</f>
        <v/>
      </c>
      <c r="I21" s="12" t="n">
        <v>0</v>
      </c>
      <c r="J21" s="7" t="inlineStr">
        <is>
          <t>Không</t>
        </is>
      </c>
      <c r="K21" s="8" t="inlineStr">
        <is>
          <t>Sản xuất đúng định mức và quy trình công nghệ</t>
        </is>
      </c>
    </row>
    <row r="22" ht="20" customHeight="1">
      <c r="A22" s="7" t="n">
        <v>18</v>
      </c>
      <c r="B22" s="7" t="inlineStr">
        <is>
          <t>SX-0396</t>
        </is>
      </c>
      <c r="C22" s="7" t="inlineStr">
        <is>
          <t>ET01MC</t>
        </is>
      </c>
      <c r="D22" s="8" t="inlineStr">
        <is>
          <t>Name ofproduct) MÄ SAN PHAM ofgood) SO LUONG (Volume) LSX (Batch ofpmduct) NSX (Date ofproduct)</t>
        </is>
      </c>
      <c r="E22" s="9" t="n">
        <v>950</v>
      </c>
      <c r="F22" s="9" t="n">
        <v>950</v>
      </c>
      <c r="G22" s="14">
        <f>F22-E22</f>
        <v/>
      </c>
      <c r="H22" s="15">
        <f>IF(E22&gt;0, F22/E22, 1)</f>
        <v/>
      </c>
      <c r="I22" s="12" t="n">
        <v>0</v>
      </c>
      <c r="J22" s="7" t="inlineStr">
        <is>
          <t>Không</t>
        </is>
      </c>
      <c r="K22" s="8" t="inlineStr">
        <is>
          <t>Sản xuất đúng định mức và quy trình công nghệ</t>
        </is>
      </c>
    </row>
    <row r="23" ht="20" customHeight="1">
      <c r="A23" s="7" t="n">
        <v>19</v>
      </c>
      <c r="B23" s="7" t="inlineStr">
        <is>
          <t>SX-0397</t>
        </is>
      </c>
      <c r="C23" s="7" t="inlineStr">
        <is>
          <t>EI160275</t>
        </is>
      </c>
      <c r="D23" s="8" t="inlineStr"/>
      <c r="E23" s="9" t="n">
        <v>1504</v>
      </c>
      <c r="F23" s="9" t="n">
        <v>1504</v>
      </c>
      <c r="G23" s="14">
        <f>F23-E23</f>
        <v/>
      </c>
      <c r="H23" s="15">
        <f>IF(E23&gt;0, F23/E23, 1)</f>
        <v/>
      </c>
      <c r="I23" s="12" t="n">
        <v>0</v>
      </c>
      <c r="J23" s="7" t="inlineStr">
        <is>
          <t>Không</t>
        </is>
      </c>
      <c r="K23" s="8" t="inlineStr">
        <is>
          <t>Sản xuất đúng định mức và quy trình công nghệ</t>
        </is>
      </c>
    </row>
    <row r="24" ht="20" customHeight="1">
      <c r="A24" s="7" t="n">
        <v>20</v>
      </c>
      <c r="B24" s="7" t="inlineStr">
        <is>
          <t>SX-0399</t>
        </is>
      </c>
      <c r="C24" s="7" t="inlineStr">
        <is>
          <t>PU3452</t>
        </is>
      </c>
      <c r="D24" s="8" t="inlineStr"/>
      <c r="E24" s="9" t="n">
        <v>1900</v>
      </c>
      <c r="F24" s="9" t="n">
        <v>1900</v>
      </c>
      <c r="G24" s="14">
        <f>F24-E24</f>
        <v/>
      </c>
      <c r="H24" s="15">
        <f>IF(E24&gt;0, F24/E24, 1)</f>
        <v/>
      </c>
      <c r="I24" s="12" t="n">
        <v>0</v>
      </c>
      <c r="J24" s="7" t="inlineStr">
        <is>
          <t>Không</t>
        </is>
      </c>
      <c r="K24" s="8" t="inlineStr">
        <is>
          <t>Sản xuất đúng định mức và quy trình công nghệ</t>
        </is>
      </c>
    </row>
    <row r="25" ht="20" customHeight="1">
      <c r="A25" s="7" t="n">
        <v>21</v>
      </c>
      <c r="B25" s="7" t="inlineStr">
        <is>
          <t>SX-0400</t>
        </is>
      </c>
      <c r="C25" s="7" t="inlineStr">
        <is>
          <t>DRPU02</t>
        </is>
      </c>
      <c r="D25" s="8" t="inlineStr"/>
      <c r="E25" s="9" t="n">
        <v>32</v>
      </c>
      <c r="F25" s="9" t="n">
        <v>32</v>
      </c>
      <c r="G25" s="14">
        <f>F25-E25</f>
        <v/>
      </c>
      <c r="H25" s="15">
        <f>IF(E25&gt;0, F25/E25, 1)</f>
        <v/>
      </c>
      <c r="I25" s="12" t="n">
        <v>0</v>
      </c>
      <c r="J25" s="7" t="inlineStr">
        <is>
          <t>Không</t>
        </is>
      </c>
      <c r="K25" s="8" t="inlineStr">
        <is>
          <t>Sản xuất đúng định mức và quy trình công nghệ</t>
        </is>
      </c>
    </row>
    <row r="26" ht="20" customHeight="1">
      <c r="A26" s="7" t="n">
        <v>22</v>
      </c>
      <c r="B26" s="7" t="inlineStr">
        <is>
          <t>SX-0402</t>
        </is>
      </c>
      <c r="C26" s="7" t="inlineStr">
        <is>
          <t>PU3650</t>
        </is>
      </c>
      <c r="D26" s="8" t="inlineStr"/>
      <c r="E26" s="9" t="n">
        <v>800</v>
      </c>
      <c r="F26" s="9" t="n">
        <v>800</v>
      </c>
      <c r="G26" s="14">
        <f>F26-E26</f>
        <v/>
      </c>
      <c r="H26" s="15">
        <f>IF(E26&gt;0, F26/E26, 1)</f>
        <v/>
      </c>
      <c r="I26" s="12" t="n">
        <v>0</v>
      </c>
      <c r="J26" s="7" t="inlineStr">
        <is>
          <t>Không</t>
        </is>
      </c>
      <c r="K26" s="8" t="inlineStr">
        <is>
          <t>Sản xuất đúng định mức và quy trình công nghệ</t>
        </is>
      </c>
    </row>
    <row r="27" ht="20" customHeight="1">
      <c r="A27" s="7" t="n">
        <v>23</v>
      </c>
      <c r="B27" s="7" t="inlineStr">
        <is>
          <t>SX-0403</t>
        </is>
      </c>
      <c r="C27" s="7" t="inlineStr">
        <is>
          <t>EC3691</t>
        </is>
      </c>
      <c r="D27" s="8" t="inlineStr"/>
      <c r="E27" s="9" t="n">
        <v>21</v>
      </c>
      <c r="F27" s="9" t="n">
        <v>21</v>
      </c>
      <c r="G27" s="14">
        <f>F27-E27</f>
        <v/>
      </c>
      <c r="H27" s="15">
        <f>IF(E27&gt;0, F27/E27, 1)</f>
        <v/>
      </c>
      <c r="I27" s="12" t="n">
        <v>0</v>
      </c>
      <c r="J27" s="7" t="inlineStr">
        <is>
          <t>Không</t>
        </is>
      </c>
      <c r="K27" s="8" t="inlineStr">
        <is>
          <t>Sản xuất đúng định mức và quy trình công nghệ</t>
        </is>
      </c>
    </row>
    <row r="28" ht="20" customHeight="1">
      <c r="A28" s="7" t="n">
        <v>24</v>
      </c>
      <c r="B28" s="7" t="inlineStr">
        <is>
          <t>SX-0404</t>
        </is>
      </c>
      <c r="C28" s="7" t="inlineStr">
        <is>
          <t>THP3618</t>
        </is>
      </c>
      <c r="D28" s="8" t="inlineStr"/>
      <c r="E28" s="9" t="n">
        <v>300</v>
      </c>
      <c r="F28" s="9" t="n">
        <v>300</v>
      </c>
      <c r="G28" s="14">
        <f>F28-E28</f>
        <v/>
      </c>
      <c r="H28" s="15">
        <f>IF(E28&gt;0, F28/E28, 1)</f>
        <v/>
      </c>
      <c r="I28" s="12" t="n">
        <v>0</v>
      </c>
      <c r="J28" s="7" t="inlineStr">
        <is>
          <t>Không</t>
        </is>
      </c>
      <c r="K28" s="8" t="inlineStr">
        <is>
          <t>Sản xuất đúng định mức và quy trình công nghệ</t>
        </is>
      </c>
    </row>
    <row r="29" ht="20" customHeight="1">
      <c r="A29" s="7" t="n">
        <v>25</v>
      </c>
      <c r="B29" s="7" t="inlineStr">
        <is>
          <t>SX-0405</t>
        </is>
      </c>
      <c r="C29" s="7" t="inlineStr">
        <is>
          <t>AR3254MC</t>
        </is>
      </c>
      <c r="D29" s="8" t="inlineStr"/>
      <c r="E29" s="9" t="n">
        <v>660</v>
      </c>
      <c r="F29" s="9" t="n">
        <v>660</v>
      </c>
      <c r="G29" s="14">
        <f>F29-E29</f>
        <v/>
      </c>
      <c r="H29" s="15">
        <f>IF(E29&gt;0, F29/E29, 1)</f>
        <v/>
      </c>
      <c r="I29" s="12" t="n">
        <v>0</v>
      </c>
      <c r="J29" s="7" t="inlineStr">
        <is>
          <t>Không</t>
        </is>
      </c>
      <c r="K29" s="8" t="inlineStr">
        <is>
          <t>Sản xuất đúng định mức và quy trình công nghệ</t>
        </is>
      </c>
    </row>
    <row r="30" ht="20" customHeight="1">
      <c r="A30" s="7" t="n">
        <v>26</v>
      </c>
      <c r="B30" s="7" t="inlineStr">
        <is>
          <t>SX-0407</t>
        </is>
      </c>
      <c r="C30" s="7" t="inlineStr">
        <is>
          <t>GF1151MC</t>
        </is>
      </c>
      <c r="D30" s="8" t="inlineStr"/>
      <c r="E30" s="9" t="n">
        <v>1880</v>
      </c>
      <c r="F30" s="9" t="n">
        <v>1984</v>
      </c>
      <c r="G30" s="10">
        <f>F30-E30</f>
        <v/>
      </c>
      <c r="H30" s="11">
        <f>IF(E30&gt;0, F30/E30, 1)</f>
        <v/>
      </c>
      <c r="I30" s="12" t="n">
        <v>0</v>
      </c>
      <c r="J30" s="13" t="inlineStr">
        <is>
          <t>Có</t>
        </is>
      </c>
      <c r="K30" s="8" t="inlineStr">
        <is>
          <t>Tái 3 can 16L GF1151-MC tồn cũ; nạp 605kg PU1K2008RAL (nhiễm chéo gốc PU vào gốc Epoxy); nạp bù 117kg DM GF; vượt +104L</t>
        </is>
      </c>
    </row>
    <row r="31" ht="20" customHeight="1">
      <c r="A31" s="7" t="n">
        <v>27</v>
      </c>
      <c r="B31" s="7" t="inlineStr">
        <is>
          <t>SX-0408</t>
        </is>
      </c>
      <c r="C31" s="7" t="inlineStr">
        <is>
          <t>AMC3200MT</t>
        </is>
      </c>
      <c r="D31" s="8" t="inlineStr"/>
      <c r="E31" s="9" t="n">
        <v>600</v>
      </c>
      <c r="F31" s="9" t="n">
        <v>600</v>
      </c>
      <c r="G31" s="14">
        <f>F31-E31</f>
        <v/>
      </c>
      <c r="H31" s="15">
        <f>IF(E31&gt;0, F31/E31, 1)</f>
        <v/>
      </c>
      <c r="I31" s="12" t="n">
        <v>0</v>
      </c>
      <c r="J31" s="7" t="inlineStr">
        <is>
          <t>Không</t>
        </is>
      </c>
      <c r="K31" s="8" t="inlineStr">
        <is>
          <t>Sản xuất đúng định mức và quy trình công nghệ</t>
        </is>
      </c>
    </row>
    <row r="32" ht="20" customHeight="1">
      <c r="A32" s="7" t="n">
        <v>28</v>
      </c>
      <c r="B32" s="7" t="inlineStr">
        <is>
          <t>SX-0409</t>
        </is>
      </c>
      <c r="C32" s="7" t="inlineStr">
        <is>
          <t>AMC1101MT</t>
        </is>
      </c>
      <c r="D32" s="8" t="inlineStr"/>
      <c r="E32" s="9" t="n">
        <v>1800</v>
      </c>
      <c r="F32" s="9" t="n">
        <v>1800</v>
      </c>
      <c r="G32" s="14">
        <f>F32-E32</f>
        <v/>
      </c>
      <c r="H32" s="15">
        <f>IF(E32&gt;0, F32/E32, 1)</f>
        <v/>
      </c>
      <c r="I32" s="12" t="n">
        <v>0</v>
      </c>
      <c r="J32" s="7" t="inlineStr">
        <is>
          <t>Không</t>
        </is>
      </c>
      <c r="K32" s="8" t="inlineStr">
        <is>
          <t>Sản xuất đúng định mức và quy trình công nghệ</t>
        </is>
      </c>
    </row>
    <row r="33" ht="20" customHeight="1">
      <c r="A33" s="7" t="n">
        <v>29</v>
      </c>
      <c r="B33" s="7" t="inlineStr">
        <is>
          <t>SX-0410</t>
        </is>
      </c>
      <c r="C33" s="7" t="inlineStr">
        <is>
          <t>AMC3497MT</t>
        </is>
      </c>
      <c r="D33" s="8" t="inlineStr"/>
      <c r="E33" s="9" t="n">
        <v>3000</v>
      </c>
      <c r="F33" s="9" t="n">
        <v>3000</v>
      </c>
      <c r="G33" s="14">
        <f>F33-E33</f>
        <v/>
      </c>
      <c r="H33" s="15">
        <f>IF(E33&gt;0, F33/E33, 1)</f>
        <v/>
      </c>
      <c r="I33" s="12" t="n">
        <v>0</v>
      </c>
      <c r="J33" s="7" t="inlineStr">
        <is>
          <t>Không</t>
        </is>
      </c>
      <c r="K33" s="8" t="inlineStr">
        <is>
          <t>Sản xuất đúng định mức và quy trình công nghệ</t>
        </is>
      </c>
    </row>
    <row r="34" ht="20" customHeight="1">
      <c r="A34" s="7" t="n">
        <v>30</v>
      </c>
      <c r="B34" s="7" t="inlineStr">
        <is>
          <t>SX-0411</t>
        </is>
      </c>
      <c r="C34" s="7" t="inlineStr">
        <is>
          <t>AMC3750MT</t>
        </is>
      </c>
      <c r="D34" s="8" t="inlineStr"/>
      <c r="E34" s="9" t="n">
        <v>300</v>
      </c>
      <c r="F34" s="9" t="n">
        <v>300</v>
      </c>
      <c r="G34" s="14">
        <f>F34-E34</f>
        <v/>
      </c>
      <c r="H34" s="15">
        <f>IF(E34&gt;0, F34/E34, 1)</f>
        <v/>
      </c>
      <c r="I34" s="12" t="n">
        <v>0</v>
      </c>
      <c r="J34" s="7" t="inlineStr">
        <is>
          <t>Không</t>
        </is>
      </c>
      <c r="K34" s="8" t="inlineStr">
        <is>
          <t>Sản xuất đúng định mức và quy trình công nghệ</t>
        </is>
      </c>
    </row>
    <row r="35" ht="20" customHeight="1">
      <c r="A35" s="7" t="n">
        <v>31</v>
      </c>
      <c r="B35" s="7" t="inlineStr">
        <is>
          <t>SX-0412</t>
        </is>
      </c>
      <c r="C35" s="7" t="inlineStr">
        <is>
          <t>SC1601</t>
        </is>
      </c>
      <c r="D35" s="8" t="inlineStr"/>
      <c r="E35" s="9" t="n">
        <v>100</v>
      </c>
      <c r="F35" s="9" t="n">
        <v>100</v>
      </c>
      <c r="G35" s="14">
        <f>F35-E35</f>
        <v/>
      </c>
      <c r="H35" s="15">
        <f>IF(E35&gt;0, F35/E35, 1)</f>
        <v/>
      </c>
      <c r="I35" s="12" t="n">
        <v>0</v>
      </c>
      <c r="J35" s="7" t="inlineStr">
        <is>
          <t>Không</t>
        </is>
      </c>
      <c r="K35" s="8" t="inlineStr">
        <is>
          <t>Sản xuất đúng định mức và quy trình công nghệ</t>
        </is>
      </c>
    </row>
    <row r="36" ht="20" customHeight="1">
      <c r="A36" s="7" t="n">
        <v>32</v>
      </c>
      <c r="B36" s="7" t="inlineStr">
        <is>
          <t>SX-0417</t>
        </is>
      </c>
      <c r="C36" s="7" t="inlineStr">
        <is>
          <t>ET01MC</t>
        </is>
      </c>
      <c r="D36" s="8" t="inlineStr"/>
      <c r="E36" s="9" t="n">
        <v>600</v>
      </c>
      <c r="F36" s="9" t="n">
        <v>600</v>
      </c>
      <c r="G36" s="14">
        <f>F36-E36</f>
        <v/>
      </c>
      <c r="H36" s="15">
        <f>IF(E36&gt;0, F36/E36, 1)</f>
        <v/>
      </c>
      <c r="I36" s="12" t="n">
        <v>0</v>
      </c>
      <c r="J36" s="7" t="inlineStr">
        <is>
          <t>Không</t>
        </is>
      </c>
      <c r="K36" s="8" t="inlineStr">
        <is>
          <t>Sản xuất đúng định mức và quy trình công nghệ</t>
        </is>
      </c>
    </row>
    <row r="37" ht="20" customHeight="1">
      <c r="A37" s="7" t="n">
        <v>33</v>
      </c>
      <c r="B37" s="7" t="inlineStr">
        <is>
          <t>SX-0418</t>
        </is>
      </c>
      <c r="C37" s="7" t="inlineStr">
        <is>
          <t>TH01MC</t>
        </is>
      </c>
      <c r="D37" s="8" t="inlineStr"/>
      <c r="E37" s="9" t="n">
        <v>1000</v>
      </c>
      <c r="F37" s="9" t="n">
        <v>1000</v>
      </c>
      <c r="G37" s="14">
        <f>F37-E37</f>
        <v/>
      </c>
      <c r="H37" s="15">
        <f>IF(E37&gt;0, F37/E37, 1)</f>
        <v/>
      </c>
      <c r="I37" s="12" t="n">
        <v>0</v>
      </c>
      <c r="J37" s="7" t="inlineStr">
        <is>
          <t>Không</t>
        </is>
      </c>
      <c r="K37" s="8" t="inlineStr">
        <is>
          <t>Sản xuất đúng định mức và quy trình công nghệ</t>
        </is>
      </c>
    </row>
    <row r="38" ht="20" customHeight="1">
      <c r="A38" s="7" t="n">
        <v>34</v>
      </c>
      <c r="B38" s="7" t="inlineStr">
        <is>
          <t>SX-0419</t>
        </is>
      </c>
      <c r="C38" s="7" t="inlineStr">
        <is>
          <t>TH01MC</t>
        </is>
      </c>
      <c r="D38" s="8" t="inlineStr"/>
      <c r="E38" s="9" t="n">
        <v>1000</v>
      </c>
      <c r="F38" s="9" t="n">
        <v>1000</v>
      </c>
      <c r="G38" s="14">
        <f>F38-E38</f>
        <v/>
      </c>
      <c r="H38" s="15">
        <f>IF(E38&gt;0, F38/E38, 1)</f>
        <v/>
      </c>
      <c r="I38" s="12" t="n">
        <v>0</v>
      </c>
      <c r="J38" s="7" t="inlineStr">
        <is>
          <t>Không</t>
        </is>
      </c>
      <c r="K38" s="8" t="inlineStr">
        <is>
          <t>Sản xuất đúng định mức và quy trình công nghệ</t>
        </is>
      </c>
    </row>
    <row r="39" ht="20" customHeight="1">
      <c r="A39" s="7" t="n">
        <v>35</v>
      </c>
      <c r="B39" s="7" t="inlineStr">
        <is>
          <t>SX-0420</t>
        </is>
      </c>
      <c r="C39" s="7" t="inlineStr">
        <is>
          <t>TH01MC</t>
        </is>
      </c>
      <c r="D39" s="8" t="inlineStr"/>
      <c r="E39" s="9" t="n">
        <v>1000</v>
      </c>
      <c r="F39" s="9" t="n">
        <v>1000</v>
      </c>
      <c r="G39" s="14">
        <f>F39-E39</f>
        <v/>
      </c>
      <c r="H39" s="15">
        <f>IF(E39&gt;0, F39/E39, 1)</f>
        <v/>
      </c>
      <c r="I39" s="12" t="n">
        <v>0</v>
      </c>
      <c r="J39" s="7" t="inlineStr">
        <is>
          <t>Không</t>
        </is>
      </c>
      <c r="K39" s="8" t="inlineStr">
        <is>
          <t>Sản xuất đúng định mức và quy trình công nghệ</t>
        </is>
      </c>
    </row>
    <row r="40" ht="20" customHeight="1">
      <c r="A40" s="7" t="n">
        <v>36</v>
      </c>
      <c r="B40" s="7" t="inlineStr">
        <is>
          <t>SX-0421</t>
        </is>
      </c>
      <c r="C40" s="7" t="inlineStr">
        <is>
          <t>TH01MC</t>
        </is>
      </c>
      <c r="D40" s="8" t="inlineStr"/>
      <c r="E40" s="9" t="n">
        <v>1000</v>
      </c>
      <c r="F40" s="9" t="n">
        <v>1000</v>
      </c>
      <c r="G40" s="14">
        <f>F40-E40</f>
        <v/>
      </c>
      <c r="H40" s="15">
        <f>IF(E40&gt;0, F40/E40, 1)</f>
        <v/>
      </c>
      <c r="I40" s="12" t="n">
        <v>0</v>
      </c>
      <c r="J40" s="7" t="inlineStr">
        <is>
          <t>Không</t>
        </is>
      </c>
      <c r="K40" s="8" t="inlineStr">
        <is>
          <t>Sản xuất đúng định mức và quy trình công nghệ</t>
        </is>
      </c>
    </row>
    <row r="41" ht="20" customHeight="1">
      <c r="A41" s="7" t="n">
        <v>37</v>
      </c>
      <c r="B41" s="7" t="inlineStr">
        <is>
          <t>SX-0422</t>
        </is>
      </c>
      <c r="C41" s="7" t="inlineStr">
        <is>
          <t>TH01MC</t>
        </is>
      </c>
      <c r="D41" s="8" t="inlineStr"/>
      <c r="E41" s="9" t="n">
        <v>1000</v>
      </c>
      <c r="F41" s="9" t="n">
        <v>1000</v>
      </c>
      <c r="G41" s="14">
        <f>F41-E41</f>
        <v/>
      </c>
      <c r="H41" s="15">
        <f>IF(E41&gt;0, F41/E41, 1)</f>
        <v/>
      </c>
      <c r="I41" s="12" t="n">
        <v>0</v>
      </c>
      <c r="J41" s="7" t="inlineStr">
        <is>
          <t>Không</t>
        </is>
      </c>
      <c r="K41" s="8" t="inlineStr">
        <is>
          <t>Sản xuất đúng định mức và quy trình công nghệ</t>
        </is>
      </c>
    </row>
    <row r="42" ht="20" customHeight="1">
      <c r="A42" s="7" t="n">
        <v>38</v>
      </c>
      <c r="B42" s="7" t="inlineStr">
        <is>
          <t>SX-0423</t>
        </is>
      </c>
      <c r="C42" s="7" t="inlineStr">
        <is>
          <t>TH01MC</t>
        </is>
      </c>
      <c r="D42" s="8" t="inlineStr"/>
      <c r="E42" s="9" t="n">
        <v>1000</v>
      </c>
      <c r="F42" s="9" t="n">
        <v>1000</v>
      </c>
      <c r="G42" s="14">
        <f>F42-E42</f>
        <v/>
      </c>
      <c r="H42" s="15">
        <f>IF(E42&gt;0, F42/E42, 1)</f>
        <v/>
      </c>
      <c r="I42" s="12" t="n">
        <v>0</v>
      </c>
      <c r="J42" s="7" t="inlineStr">
        <is>
          <t>Không</t>
        </is>
      </c>
      <c r="K42" s="8" t="inlineStr">
        <is>
          <t>Sản xuất đúng định mức và quy trình công nghệ</t>
        </is>
      </c>
    </row>
    <row r="43" ht="20" customHeight="1">
      <c r="A43" s="7" t="n">
        <v>39</v>
      </c>
      <c r="B43" s="7" t="inlineStr">
        <is>
          <t>SX-0424</t>
        </is>
      </c>
      <c r="C43" s="7" t="inlineStr">
        <is>
          <t>TH01MC</t>
        </is>
      </c>
      <c r="D43" s="8" t="inlineStr"/>
      <c r="E43" s="9" t="n">
        <v>1000</v>
      </c>
      <c r="F43" s="9" t="n">
        <v>1000</v>
      </c>
      <c r="G43" s="14">
        <f>F43-E43</f>
        <v/>
      </c>
      <c r="H43" s="15">
        <f>IF(E43&gt;0, F43/E43, 1)</f>
        <v/>
      </c>
      <c r="I43" s="12" t="n">
        <v>0</v>
      </c>
      <c r="J43" s="7" t="inlineStr">
        <is>
          <t>Không</t>
        </is>
      </c>
      <c r="K43" s="8" t="inlineStr">
        <is>
          <t>Sản xuất đúng định mức và quy trình công nghệ</t>
        </is>
      </c>
    </row>
    <row r="44" ht="20" customHeight="1">
      <c r="A44" s="7" t="n">
        <v>40</v>
      </c>
      <c r="B44" s="7" t="inlineStr">
        <is>
          <t>SX-0425</t>
        </is>
      </c>
      <c r="C44" s="7" t="inlineStr">
        <is>
          <t>TH01MC</t>
        </is>
      </c>
      <c r="D44" s="8" t="inlineStr"/>
      <c r="E44" s="9" t="n">
        <v>1000</v>
      </c>
      <c r="F44" s="9" t="n">
        <v>1000</v>
      </c>
      <c r="G44" s="14">
        <f>F44-E44</f>
        <v/>
      </c>
      <c r="H44" s="15">
        <f>IF(E44&gt;0, F44/E44, 1)</f>
        <v/>
      </c>
      <c r="I44" s="12" t="n">
        <v>0</v>
      </c>
      <c r="J44" s="7" t="inlineStr">
        <is>
          <t>Không</t>
        </is>
      </c>
      <c r="K44" s="8" t="inlineStr">
        <is>
          <t>Sản xuất đúng định mức và quy trình công nghệ</t>
        </is>
      </c>
    </row>
    <row r="45" ht="20" customHeight="1">
      <c r="A45" s="7" t="n">
        <v>41</v>
      </c>
      <c r="B45" s="7" t="inlineStr">
        <is>
          <t>SX-0426</t>
        </is>
      </c>
      <c r="C45" s="7" t="inlineStr">
        <is>
          <t>EC3151</t>
        </is>
      </c>
      <c r="D45" s="8" t="inlineStr">
        <is>
          <t>Sơn Epoxy phủ màu đỏ nâu</t>
        </is>
      </c>
      <c r="E45" s="9" t="n">
        <v>128</v>
      </c>
      <c r="F45" s="9" t="n">
        <v>128</v>
      </c>
      <c r="G45" s="14">
        <f>F45-E45</f>
        <v/>
      </c>
      <c r="H45" s="15">
        <f>IF(E45&gt;0, F45/E45, 1)</f>
        <v/>
      </c>
      <c r="I45" s="12" t="n">
        <v>0</v>
      </c>
      <c r="J45" s="7" t="inlineStr">
        <is>
          <t>Không</t>
        </is>
      </c>
      <c r="K45" s="8" t="inlineStr">
        <is>
          <t>Sản xuất đúng định mức và quy trình công nghệ</t>
        </is>
      </c>
    </row>
    <row r="46" ht="20" customHeight="1">
      <c r="A46" s="7" t="n">
        <v>42</v>
      </c>
      <c r="B46" s="7" t="inlineStr">
        <is>
          <t>SX-0427</t>
        </is>
      </c>
      <c r="C46" s="7" t="inlineStr">
        <is>
          <t>DD01</t>
        </is>
      </c>
      <c r="D46" s="8" t="inlineStr"/>
      <c r="E46" s="9" t="n">
        <v>320</v>
      </c>
      <c r="F46" s="9" t="n">
        <v>320</v>
      </c>
      <c r="G46" s="14">
        <f>F46-E46</f>
        <v/>
      </c>
      <c r="H46" s="15">
        <f>IF(E46&gt;0, F46/E46, 1)</f>
        <v/>
      </c>
      <c r="I46" s="12" t="n">
        <v>0</v>
      </c>
      <c r="J46" s="7" t="inlineStr">
        <is>
          <t>Không</t>
        </is>
      </c>
      <c r="K46" s="8" t="inlineStr">
        <is>
          <t>Sản xuất đúng định mức và quy trình công nghệ</t>
        </is>
      </c>
    </row>
    <row r="47" ht="20" customHeight="1">
      <c r="A47" s="7" t="n">
        <v>43</v>
      </c>
      <c r="B47" s="7" t="inlineStr">
        <is>
          <t>SX-0427</t>
        </is>
      </c>
      <c r="C47" s="7" t="inlineStr">
        <is>
          <t>DRGR01</t>
        </is>
      </c>
      <c r="D47" s="8" t="inlineStr">
        <is>
          <t>Dầu bóng PU bóng gương</t>
        </is>
      </c>
      <c r="E47" s="9" t="n">
        <v>126</v>
      </c>
      <c r="F47" s="9" t="n">
        <v>126</v>
      </c>
      <c r="G47" s="14">
        <f>F47-E47</f>
        <v/>
      </c>
      <c r="H47" s="15">
        <f>IF(E47&gt;0, F47/E47, 1)</f>
        <v/>
      </c>
      <c r="I47" s="12" t="n">
        <v>0</v>
      </c>
      <c r="J47" s="7" t="inlineStr">
        <is>
          <t>Không</t>
        </is>
      </c>
      <c r="K47" s="8" t="inlineStr">
        <is>
          <t>Sản xuất đúng định mức và quy trình công nghệ</t>
        </is>
      </c>
    </row>
    <row r="48" ht="20" customHeight="1">
      <c r="A48" s="7" t="n">
        <v>44</v>
      </c>
      <c r="B48" s="7" t="inlineStr">
        <is>
          <t>SX-0428</t>
        </is>
      </c>
      <c r="C48" s="7" t="inlineStr">
        <is>
          <t>GF1375MC</t>
        </is>
      </c>
      <c r="D48" s="8" t="inlineStr"/>
      <c r="E48" s="9" t="n">
        <v>1804</v>
      </c>
      <c r="F48" s="9" t="n">
        <v>1872</v>
      </c>
      <c r="G48" s="10">
        <f>F48-E48</f>
        <v/>
      </c>
      <c r="H48" s="11">
        <f>IF(E48&gt;0, F48/E48, 1)</f>
        <v/>
      </c>
      <c r="I48" s="12" t="n">
        <v>0</v>
      </c>
      <c r="J48" s="13" t="inlineStr">
        <is>
          <t>Có</t>
        </is>
      </c>
      <c r="K48" s="8" t="inlineStr">
        <is>
          <t>Sửa Toluen 160-&gt;200kg, DM GF 150-&gt;195kg, châm thêm 180kg Ethyl Acetate (EAC); vượt +68L</t>
        </is>
      </c>
    </row>
    <row r="49" ht="20" customHeight="1">
      <c r="A49" s="7" t="n">
        <v>45</v>
      </c>
      <c r="B49" s="7" t="inlineStr">
        <is>
          <t>SX-0430</t>
        </is>
      </c>
      <c r="C49" s="7" t="inlineStr">
        <is>
          <t>HPA9010RAL</t>
        </is>
      </c>
      <c r="D49" s="8" t="inlineStr"/>
      <c r="E49" s="9" t="n">
        <v>680</v>
      </c>
      <c r="F49" s="9" t="n">
        <v>680</v>
      </c>
      <c r="G49" s="14">
        <f>F49-E49</f>
        <v/>
      </c>
      <c r="H49" s="15">
        <f>IF(E49&gt;0, F49/E49, 1)</f>
        <v/>
      </c>
      <c r="I49" s="12" t="n">
        <v>0</v>
      </c>
      <c r="J49" s="7" t="inlineStr">
        <is>
          <t>Không</t>
        </is>
      </c>
      <c r="K49" s="8" t="inlineStr">
        <is>
          <t>Sản xuất đúng định mức và quy trình công nghệ</t>
        </is>
      </c>
    </row>
    <row r="50" ht="20" customHeight="1">
      <c r="A50" s="7" t="n">
        <v>46</v>
      </c>
      <c r="B50" s="7" t="inlineStr">
        <is>
          <t>SX-0431</t>
        </is>
      </c>
      <c r="C50" s="7" t="inlineStr">
        <is>
          <t>AMC3652</t>
        </is>
      </c>
      <c r="D50" s="8" t="inlineStr"/>
      <c r="E50" s="9" t="n">
        <v>780</v>
      </c>
      <c r="F50" s="9" t="n">
        <v>780</v>
      </c>
      <c r="G50" s="14">
        <f>F50-E50</f>
        <v/>
      </c>
      <c r="H50" s="15">
        <f>IF(E50&gt;0, F50/E50, 1)</f>
        <v/>
      </c>
      <c r="I50" s="12" t="n">
        <v>0</v>
      </c>
      <c r="J50" s="7" t="inlineStr">
        <is>
          <t>Không</t>
        </is>
      </c>
      <c r="K50" s="8" t="inlineStr">
        <is>
          <t>Sản xuất đúng định mức và quy trình công nghệ</t>
        </is>
      </c>
    </row>
    <row r="51" ht="20" customHeight="1">
      <c r="A51" s="7" t="n">
        <v>47</v>
      </c>
      <c r="B51" s="7" t="inlineStr">
        <is>
          <t>SX-0432</t>
        </is>
      </c>
      <c r="C51" s="7" t="inlineStr">
        <is>
          <t>EI3254</t>
        </is>
      </c>
      <c r="D51" s="8" t="inlineStr">
        <is>
          <t>Sơn Epoxy trung gian màu cam</t>
        </is>
      </c>
      <c r="E51" s="9" t="n">
        <v>260</v>
      </c>
      <c r="F51" s="9" t="n">
        <v>260</v>
      </c>
      <c r="G51" s="14">
        <f>F51-E51</f>
        <v/>
      </c>
      <c r="H51" s="15">
        <f>IF(E51&gt;0, F51/E51, 1)</f>
        <v/>
      </c>
      <c r="I51" s="12" t="n">
        <v>0</v>
      </c>
      <c r="J51" s="7" t="inlineStr">
        <is>
          <t>Không</t>
        </is>
      </c>
      <c r="K51" s="8" t="inlineStr">
        <is>
          <t>Sản xuất đúng định mức và quy trình công nghệ</t>
        </is>
      </c>
    </row>
    <row r="52" ht="20" customHeight="1">
      <c r="A52" s="7" t="n">
        <v>48</v>
      </c>
      <c r="B52" s="7" t="inlineStr">
        <is>
          <t>SX-0433</t>
        </is>
      </c>
      <c r="C52" s="7" t="inlineStr">
        <is>
          <t>GF1253MC</t>
        </is>
      </c>
      <c r="D52" s="8" t="inlineStr"/>
      <c r="E52" s="9" t="n">
        <v>1008</v>
      </c>
      <c r="F52" s="9" t="n">
        <v>2112</v>
      </c>
      <c r="G52" s="10">
        <f>F52-E52</f>
        <v/>
      </c>
      <c r="H52" s="11">
        <f>IF(E52&gt;0, F52/E52, 1)</f>
        <v/>
      </c>
      <c r="I52" s="12" t="n">
        <v>0</v>
      </c>
      <c r="J52" s="13" t="inlineStr">
        <is>
          <t>Có</t>
        </is>
      </c>
      <c r="K52" s="8" t="inlineStr">
        <is>
          <t>Ghi chú tay: 'Tái GF1253-MC bị đông' (1.637kg + 103kg); DM GF nạp 132kg (vượt định mức 53kg); sản lượng tăng vọt +1.104L (+109.5%)</t>
        </is>
      </c>
    </row>
    <row r="53" ht="20" customHeight="1">
      <c r="A53" s="7" t="n">
        <v>49</v>
      </c>
      <c r="B53" s="7" t="inlineStr">
        <is>
          <t>SX-0434</t>
        </is>
      </c>
      <c r="C53" s="7" t="inlineStr">
        <is>
          <t>AM3452MC</t>
        </is>
      </c>
      <c r="D53" s="8" t="inlineStr"/>
      <c r="E53" s="9" t="n">
        <v>100</v>
      </c>
      <c r="F53" s="9" t="n">
        <v>100</v>
      </c>
      <c r="G53" s="14">
        <f>F53-E53</f>
        <v/>
      </c>
      <c r="H53" s="15">
        <f>IF(E53&gt;0, F53/E53, 1)</f>
        <v/>
      </c>
      <c r="I53" s="12" t="n">
        <v>0</v>
      </c>
      <c r="J53" s="7" t="inlineStr">
        <is>
          <t>Không</t>
        </is>
      </c>
      <c r="K53" s="8" t="inlineStr">
        <is>
          <t>Sản xuất đúng định mức và quy trình công nghệ</t>
        </is>
      </c>
    </row>
    <row r="54" ht="20" customHeight="1">
      <c r="A54" s="7" t="n">
        <v>50</v>
      </c>
      <c r="B54" s="7" t="inlineStr">
        <is>
          <t>SX-0435</t>
        </is>
      </c>
      <c r="C54" s="7" t="inlineStr">
        <is>
          <t>HPA1021RALDQ</t>
        </is>
      </c>
      <c r="D54" s="8" t="inlineStr"/>
      <c r="E54" s="9" t="n">
        <v>450</v>
      </c>
      <c r="F54" s="9" t="n">
        <v>450</v>
      </c>
      <c r="G54" s="14">
        <f>F54-E54</f>
        <v/>
      </c>
      <c r="H54" s="15">
        <f>IF(E54&gt;0, F54/E54, 1)</f>
        <v/>
      </c>
      <c r="I54" s="12" t="n">
        <v>0</v>
      </c>
      <c r="J54" s="7" t="inlineStr">
        <is>
          <t>Không</t>
        </is>
      </c>
      <c r="K54" s="8" t="inlineStr">
        <is>
          <t>Sản xuất đúng định mức và quy trình công nghệ</t>
        </is>
      </c>
    </row>
    <row r="55" ht="20" customHeight="1">
      <c r="A55" s="7" t="n">
        <v>51</v>
      </c>
      <c r="B55" s="7" t="inlineStr">
        <is>
          <t>SX-0436</t>
        </is>
      </c>
      <c r="C55" s="7" t="inlineStr">
        <is>
          <t>PU1K8017RAL</t>
        </is>
      </c>
      <c r="D55" s="8" t="inlineStr"/>
      <c r="E55" s="9" t="n">
        <v>260</v>
      </c>
      <c r="F55" s="9" t="n">
        <v>260</v>
      </c>
      <c r="G55" s="14">
        <f>F55-E55</f>
        <v/>
      </c>
      <c r="H55" s="15">
        <f>IF(E55&gt;0, F55/E55, 1)</f>
        <v/>
      </c>
      <c r="I55" s="12" t="n">
        <v>0</v>
      </c>
      <c r="J55" s="7" t="inlineStr">
        <is>
          <t>Không</t>
        </is>
      </c>
      <c r="K55" s="8" t="inlineStr">
        <is>
          <t>Sản xuất đúng định mức và quy trình công nghệ</t>
        </is>
      </c>
    </row>
    <row r="56" ht="20" customHeight="1">
      <c r="A56" s="7" t="n">
        <v>52</v>
      </c>
      <c r="B56" s="7" t="inlineStr">
        <is>
          <t>SX-0437</t>
        </is>
      </c>
      <c r="C56" s="7" t="inlineStr">
        <is>
          <t>AMC1101</t>
        </is>
      </c>
      <c r="D56" s="8" t="inlineStr"/>
      <c r="E56" s="9" t="n">
        <v>840</v>
      </c>
      <c r="F56" s="9" t="n">
        <v>840</v>
      </c>
      <c r="G56" s="14">
        <f>F56-E56</f>
        <v/>
      </c>
      <c r="H56" s="15">
        <f>IF(E56&gt;0, F56/E56, 1)</f>
        <v/>
      </c>
      <c r="I56" s="12" t="n">
        <v>0</v>
      </c>
      <c r="J56" s="7" t="inlineStr">
        <is>
          <t>Không</t>
        </is>
      </c>
      <c r="K56" s="8" t="inlineStr">
        <is>
          <t>Sản xuất đúng định mức và quy trình công nghệ</t>
        </is>
      </c>
    </row>
    <row r="57" ht="20" customHeight="1">
      <c r="A57" s="7" t="n">
        <v>53</v>
      </c>
      <c r="B57" s="7" t="inlineStr">
        <is>
          <t>SX-0438</t>
        </is>
      </c>
      <c r="C57" s="7" t="inlineStr">
        <is>
          <t>PU</t>
        </is>
      </c>
      <c r="D57" s="8" t="inlineStr"/>
      <c r="E57" s="9" t="n">
        <v>140</v>
      </c>
      <c r="F57" s="9" t="n">
        <v>140</v>
      </c>
      <c r="G57" s="14">
        <f>F57-E57</f>
        <v/>
      </c>
      <c r="H57" s="15">
        <f>IF(E57&gt;0, F57/E57, 1)</f>
        <v/>
      </c>
      <c r="I57" s="12" t="n">
        <v>0</v>
      </c>
      <c r="J57" s="7" t="inlineStr">
        <is>
          <t>Không</t>
        </is>
      </c>
      <c r="K57" s="8" t="inlineStr">
        <is>
          <t>Sản xuất đúng định mức và quy trình công nghệ</t>
        </is>
      </c>
    </row>
    <row r="58" ht="20" customHeight="1">
      <c r="A58" s="7" t="n">
        <v>54</v>
      </c>
      <c r="B58" s="7" t="inlineStr">
        <is>
          <t>SX-0440</t>
        </is>
      </c>
      <c r="C58" s="7" t="inlineStr">
        <is>
          <t>AMC1602</t>
        </is>
      </c>
      <c r="D58" s="8" t="inlineStr"/>
      <c r="E58" s="9" t="n">
        <v>1060</v>
      </c>
      <c r="F58" s="9" t="n">
        <v>1060</v>
      </c>
      <c r="G58" s="14">
        <f>F58-E58</f>
        <v/>
      </c>
      <c r="H58" s="15">
        <f>IF(E58&gt;0, F58/E58, 1)</f>
        <v/>
      </c>
      <c r="I58" s="12" t="n">
        <v>0</v>
      </c>
      <c r="J58" s="7" t="inlineStr">
        <is>
          <t>Không</t>
        </is>
      </c>
      <c r="K58" s="8" t="inlineStr">
        <is>
          <t>Sản xuất đúng định mức và quy trình công nghệ</t>
        </is>
      </c>
    </row>
    <row r="59" ht="20" customHeight="1">
      <c r="A59" s="7" t="n">
        <v>55</v>
      </c>
      <c r="B59" s="7" t="inlineStr">
        <is>
          <t>SX-0442</t>
        </is>
      </c>
      <c r="C59" s="7" t="inlineStr">
        <is>
          <t>AMC1101MT</t>
        </is>
      </c>
      <c r="D59" s="8" t="inlineStr">
        <is>
          <t>Name ofproduct) MÄ sÅN PHAM (List Ofgood) SÖ LUONG (Volume) LSX (Batch ofproduct) NSX (Date ofproduct) . sx-0442</t>
        </is>
      </c>
      <c r="E59" s="9" t="n">
        <v>11300</v>
      </c>
      <c r="F59" s="9" t="n">
        <v>11300</v>
      </c>
      <c r="G59" s="14">
        <f>F59-E59</f>
        <v/>
      </c>
      <c r="H59" s="15">
        <f>IF(E59&gt;0, F59/E59, 1)</f>
        <v/>
      </c>
      <c r="I59" s="12" t="n">
        <v>0</v>
      </c>
      <c r="J59" s="7" t="inlineStr">
        <is>
          <t>Không</t>
        </is>
      </c>
      <c r="K59" s="8" t="inlineStr">
        <is>
          <t>Sản xuất đúng định mức và quy trình công nghệ</t>
        </is>
      </c>
    </row>
    <row r="60" ht="20" customHeight="1">
      <c r="A60" s="7" t="n">
        <v>56</v>
      </c>
      <c r="B60" s="7" t="inlineStr">
        <is>
          <t>SX-0443</t>
        </is>
      </c>
      <c r="C60" s="7" t="inlineStr">
        <is>
          <t>AC1603</t>
        </is>
      </c>
      <c r="D60" s="8" t="inlineStr"/>
      <c r="E60" s="9" t="n">
        <v>800</v>
      </c>
      <c r="F60" s="9" t="n">
        <v>800</v>
      </c>
      <c r="G60" s="14">
        <f>F60-E60</f>
        <v/>
      </c>
      <c r="H60" s="15">
        <f>IF(E60&gt;0, F60/E60, 1)</f>
        <v/>
      </c>
      <c r="I60" s="12" t="n">
        <v>0</v>
      </c>
      <c r="J60" s="7" t="inlineStr">
        <is>
          <t>Không</t>
        </is>
      </c>
      <c r="K60" s="8" t="inlineStr">
        <is>
          <t>Sản xuất đúng định mức và quy trình công nghệ</t>
        </is>
      </c>
    </row>
    <row r="61" ht="20" customHeight="1">
      <c r="A61" s="7" t="n">
        <v>57</v>
      </c>
      <c r="B61" s="7" t="inlineStr">
        <is>
          <t>SX-0444</t>
        </is>
      </c>
      <c r="C61" s="7" t="inlineStr">
        <is>
          <t>DREIL1L2</t>
        </is>
      </c>
      <c r="D61" s="8" t="inlineStr"/>
      <c r="E61" s="9" t="n">
        <v>12</v>
      </c>
      <c r="F61" s="9" t="n">
        <v>12</v>
      </c>
      <c r="G61" s="14">
        <f>F61-E61</f>
        <v/>
      </c>
      <c r="H61" s="15">
        <f>IF(E61&gt;0, F61/E61, 1)</f>
        <v/>
      </c>
      <c r="I61" s="12" t="n">
        <v>0</v>
      </c>
      <c r="J61" s="7" t="inlineStr">
        <is>
          <t>Không</t>
        </is>
      </c>
      <c r="K61" s="8" t="inlineStr">
        <is>
          <t>Sản xuất đúng định mức và quy trình công nghệ</t>
        </is>
      </c>
    </row>
    <row r="62" ht="20" customHeight="1">
      <c r="A62" s="7" t="n">
        <v>58</v>
      </c>
      <c r="B62" s="7" t="inlineStr">
        <is>
          <t>SX-0445</t>
        </is>
      </c>
      <c r="C62" s="7" t="inlineStr">
        <is>
          <t>GF1253MC</t>
        </is>
      </c>
      <c r="D62" s="8" t="inlineStr">
        <is>
          <t>Name MÄ sÅN PHAM (List ofgood) SÖ LUONG (Volume) LSX (Batch of product) NSX (Date ofproduct) Glass Flake Epoxy GF-MC Yellow GF1253-MC . 1.008 LiT 1.260 LIT)</t>
        </is>
      </c>
      <c r="E62" s="9" t="n">
        <v>1008</v>
      </c>
      <c r="F62" s="9" t="n">
        <v>2048</v>
      </c>
      <c r="G62" s="10">
        <f>F62-E62</f>
        <v/>
      </c>
      <c r="H62" s="11">
        <f>IF(E62&gt;0, F62/E62, 1)</f>
        <v/>
      </c>
      <c r="I62" s="12" t="n">
        <v>0</v>
      </c>
      <c r="J62" s="13" t="inlineStr">
        <is>
          <t>Có</t>
        </is>
      </c>
      <c r="K62" s="8" t="inlineStr">
        <is>
          <t>Ghi chú tay: 'Có tái chế hàng bị đông GF1253-MC' (1.604kg + 103kg); DM GF nạp 73kg; sản lượng tăng vọt +1.040L (+103.2%)</t>
        </is>
      </c>
    </row>
    <row r="63" ht="20" customHeight="1">
      <c r="A63" s="7" t="n">
        <v>59</v>
      </c>
      <c r="B63" s="7" t="inlineStr">
        <is>
          <t>SX-0446</t>
        </is>
      </c>
      <c r="C63" s="7" t="inlineStr">
        <is>
          <t>EH1151MC</t>
        </is>
      </c>
      <c r="D63" s="8" t="inlineStr"/>
      <c r="E63" s="9" t="n">
        <v>1808</v>
      </c>
      <c r="F63" s="9" t="n">
        <v>1808</v>
      </c>
      <c r="G63" s="14">
        <f>F63-E63</f>
        <v/>
      </c>
      <c r="H63" s="15">
        <f>IF(E63&gt;0, F63/E63, 1)</f>
        <v/>
      </c>
      <c r="I63" s="12" t="n">
        <v>0</v>
      </c>
      <c r="J63" s="7" t="inlineStr">
        <is>
          <t>Không</t>
        </is>
      </c>
      <c r="K63" s="8" t="inlineStr">
        <is>
          <t>Sản xuất đúng định mức và quy trình công nghệ</t>
        </is>
      </c>
    </row>
    <row r="64" ht="20" customHeight="1">
      <c r="A64" s="7" t="n">
        <v>60</v>
      </c>
      <c r="B64" s="7" t="inlineStr">
        <is>
          <t>SX-0447</t>
        </is>
      </c>
      <c r="C64" s="7" t="inlineStr">
        <is>
          <t>PTH01</t>
        </is>
      </c>
      <c r="D64" s="8" t="inlineStr"/>
      <c r="E64" s="9" t="n">
        <v>950</v>
      </c>
      <c r="F64" s="9" t="n">
        <v>950</v>
      </c>
      <c r="G64" s="14">
        <f>F64-E64</f>
        <v/>
      </c>
      <c r="H64" s="15">
        <f>IF(E64&gt;0, F64/E64, 1)</f>
        <v/>
      </c>
      <c r="I64" s="12" t="n">
        <v>0</v>
      </c>
      <c r="J64" s="7" t="inlineStr">
        <is>
          <t>Không</t>
        </is>
      </c>
      <c r="K64" s="8" t="inlineStr">
        <is>
          <t>Sản xuất đúng định mức và quy trình công nghệ</t>
        </is>
      </c>
    </row>
    <row r="65" ht="20" customHeight="1">
      <c r="A65" s="7" t="n">
        <v>61</v>
      </c>
      <c r="B65" s="7" t="inlineStr">
        <is>
          <t>SX-0450</t>
        </is>
      </c>
      <c r="C65" s="7" t="inlineStr">
        <is>
          <t>BTP-AMC3000</t>
        </is>
      </c>
      <c r="D65" s="8" t="inlineStr">
        <is>
          <t>Bán thành phẩm sơn Alkyd dầu</t>
        </is>
      </c>
      <c r="E65" s="9" t="n">
        <v>1500</v>
      </c>
      <c r="F65" s="9" t="n">
        <v>1500</v>
      </c>
      <c r="G65" s="14">
        <f>F65-E65</f>
        <v/>
      </c>
      <c r="H65" s="15">
        <f>IF(E65&gt;0, F65/E65, 1)</f>
        <v/>
      </c>
      <c r="I65" s="12" t="n">
        <v>0</v>
      </c>
      <c r="J65" s="7" t="inlineStr">
        <is>
          <t>Không</t>
        </is>
      </c>
      <c r="K65" s="8" t="inlineStr">
        <is>
          <t>Sản xuất đúng định mức và quy trình công nghệ</t>
        </is>
      </c>
    </row>
    <row r="66" ht="20" customHeight="1">
      <c r="A66" s="7" t="n">
        <v>62</v>
      </c>
      <c r="B66" s="7" t="inlineStr">
        <is>
          <t>SX-0451</t>
        </is>
      </c>
      <c r="C66" s="7" t="inlineStr">
        <is>
          <t>HPA1021RALDQ</t>
        </is>
      </c>
      <c r="D66" s="8" t="inlineStr"/>
      <c r="E66" s="9" t="n">
        <v>450</v>
      </c>
      <c r="F66" s="9" t="n">
        <v>450</v>
      </c>
      <c r="G66" s="14">
        <f>F66-E66</f>
        <v/>
      </c>
      <c r="H66" s="15">
        <f>IF(E66&gt;0, F66/E66, 1)</f>
        <v/>
      </c>
      <c r="I66" s="12" t="n">
        <v>0</v>
      </c>
      <c r="J66" s="7" t="inlineStr">
        <is>
          <t>Không</t>
        </is>
      </c>
      <c r="K66" s="8" t="inlineStr">
        <is>
          <t>Sản xuất đúng định mức và quy trình công nghệ</t>
        </is>
      </c>
    </row>
    <row r="67" ht="20" customHeight="1">
      <c r="A67" s="7" t="n">
        <v>63</v>
      </c>
      <c r="B67" s="7" t="inlineStr">
        <is>
          <t>SX-0453</t>
        </is>
      </c>
      <c r="C67" s="7" t="inlineStr">
        <is>
          <t>EI160275</t>
        </is>
      </c>
      <c r="D67" s="8" t="inlineStr"/>
      <c r="E67" s="9" t="n">
        <v>1439.2</v>
      </c>
      <c r="F67" s="9" t="n">
        <v>1439.2</v>
      </c>
      <c r="G67" s="14">
        <f>F67-E67</f>
        <v/>
      </c>
      <c r="H67" s="15">
        <f>IF(E67&gt;0, F67/E67, 1)</f>
        <v/>
      </c>
      <c r="I67" s="12" t="n">
        <v>0</v>
      </c>
      <c r="J67" s="7" t="inlineStr">
        <is>
          <t>Không</t>
        </is>
      </c>
      <c r="K67" s="8" t="inlineStr">
        <is>
          <t>Sản xuất đúng định mức và quy trình công nghệ</t>
        </is>
      </c>
    </row>
    <row r="68" ht="20" customHeight="1">
      <c r="A68" s="7" t="n">
        <v>64</v>
      </c>
      <c r="B68" s="7" t="inlineStr">
        <is>
          <t>SX-0454</t>
        </is>
      </c>
      <c r="C68" s="7" t="inlineStr">
        <is>
          <t>DREIL1L2</t>
        </is>
      </c>
      <c r="D68" s="8" t="inlineStr"/>
      <c r="E68" s="9" t="n">
        <v>600</v>
      </c>
      <c r="F68" s="9" t="n">
        <v>600</v>
      </c>
      <c r="G68" s="14">
        <f>F68-E68</f>
        <v/>
      </c>
      <c r="H68" s="15">
        <f>IF(E68&gt;0, F68/E68, 1)</f>
        <v/>
      </c>
      <c r="I68" s="12" t="n">
        <v>0</v>
      </c>
      <c r="J68" s="7" t="inlineStr">
        <is>
          <t>Không</t>
        </is>
      </c>
      <c r="K68" s="8" t="inlineStr">
        <is>
          <t>Sản xuất đúng định mức và quy trình công nghệ</t>
        </is>
      </c>
    </row>
    <row r="69" ht="20" customHeight="1">
      <c r="A69" s="7" t="n">
        <v>65</v>
      </c>
      <c r="B69" s="7" t="inlineStr">
        <is>
          <t>SX-0456</t>
        </is>
      </c>
      <c r="C69" s="7" t="inlineStr">
        <is>
          <t>DRE3</t>
        </is>
      </c>
      <c r="D69" s="8" t="inlineStr"/>
      <c r="E69" s="9" t="n">
        <v>108</v>
      </c>
      <c r="F69" s="9" t="n">
        <v>108</v>
      </c>
      <c r="G69" s="14">
        <f>F69-E69</f>
        <v/>
      </c>
      <c r="H69" s="15">
        <f>IF(E69&gt;0, F69/E69, 1)</f>
        <v/>
      </c>
      <c r="I69" s="12" t="n">
        <v>0</v>
      </c>
      <c r="J69" s="7" t="inlineStr">
        <is>
          <t>Không</t>
        </is>
      </c>
      <c r="K69" s="8" t="inlineStr">
        <is>
          <t>Sản xuất đúng định mức và quy trình công nghệ</t>
        </is>
      </c>
    </row>
    <row r="70" ht="20" customHeight="1">
      <c r="A70" s="7" t="n">
        <v>66</v>
      </c>
      <c r="B70" s="7" t="inlineStr">
        <is>
          <t>SX-0457</t>
        </is>
      </c>
      <c r="C70" s="7" t="inlineStr">
        <is>
          <t>AMC01</t>
        </is>
      </c>
      <c r="D70" s="8" t="inlineStr">
        <is>
          <t>Name MÄ SAN PHAM ofgood) SÖ LUONG (Volume) LSX (Batch of prxiuct) N SX (Date of product) h,ånh• H,éu Truv (Qier) (U-Code) TEN NGUYEN LIEU (Material) XYLEN SÖ LÜQNG (Aniount) (Unit) (Batch No.) Yéu cau (Request) 218 218 Thvc té (Pratice) Itrqng (lit/kg) L sx-0457 Dung tnöi son dÅu cong nghé tn&amp;i . AMCOI</t>
        </is>
      </c>
      <c r="E70" s="9" t="n">
        <v>250</v>
      </c>
      <c r="F70" s="9" t="n">
        <v>250</v>
      </c>
      <c r="G70" s="14">
        <f>F70-E70</f>
        <v/>
      </c>
      <c r="H70" s="15">
        <f>IF(E70&gt;0, F70/E70, 1)</f>
        <v/>
      </c>
      <c r="I70" s="12" t="n">
        <v>0</v>
      </c>
      <c r="J70" s="7" t="inlineStr">
        <is>
          <t>Không</t>
        </is>
      </c>
      <c r="K70" s="8" t="inlineStr">
        <is>
          <t>Sản xuất đúng định mức và quy trình công nghệ</t>
        </is>
      </c>
    </row>
    <row r="71" ht="20" customHeight="1">
      <c r="A71" s="7" t="n">
        <v>67</v>
      </c>
      <c r="B71" s="7" t="inlineStr">
        <is>
          <t>SX-0459</t>
        </is>
      </c>
      <c r="C71" s="7" t="inlineStr">
        <is>
          <t>HPSC1601</t>
        </is>
      </c>
      <c r="D71" s="8" t="inlineStr"/>
      <c r="E71" s="9" t="n">
        <v>1275</v>
      </c>
      <c r="F71" s="9" t="n">
        <v>1275</v>
      </c>
      <c r="G71" s="14">
        <f>F71-E71</f>
        <v/>
      </c>
      <c r="H71" s="15">
        <f>IF(E71&gt;0, F71/E71, 1)</f>
        <v/>
      </c>
      <c r="I71" s="12" t="n">
        <v>0</v>
      </c>
      <c r="J71" s="7" t="inlineStr">
        <is>
          <t>Không</t>
        </is>
      </c>
      <c r="K71" s="8" t="inlineStr">
        <is>
          <t>Sản xuất đúng định mức và quy trình công nghệ</t>
        </is>
      </c>
    </row>
    <row r="72" ht="20" customHeight="1">
      <c r="A72" s="7" t="n">
        <v>68</v>
      </c>
      <c r="B72" s="7" t="inlineStr">
        <is>
          <t>SX-046</t>
        </is>
      </c>
      <c r="C72" s="7" t="inlineStr">
        <is>
          <t>ET01</t>
        </is>
      </c>
      <c r="D72" s="8" t="inlineStr"/>
      <c r="E72" s="9" t="n">
        <v>22820</v>
      </c>
      <c r="F72" s="9" t="n">
        <v>22820</v>
      </c>
      <c r="G72" s="14">
        <f>F72-E72</f>
        <v/>
      </c>
      <c r="H72" s="15">
        <f>IF(E72&gt;0, F72/E72, 1)</f>
        <v/>
      </c>
      <c r="I72" s="12" t="n">
        <v>0</v>
      </c>
      <c r="J72" s="7" t="inlineStr">
        <is>
          <t>Không</t>
        </is>
      </c>
      <c r="K72" s="8" t="inlineStr">
        <is>
          <t>Sản xuất đúng định mức và quy trình công nghệ</t>
        </is>
      </c>
    </row>
    <row r="73" ht="20" customHeight="1">
      <c r="A73" s="7" t="n">
        <v>69</v>
      </c>
      <c r="B73" s="7" t="inlineStr">
        <is>
          <t>SX-0463</t>
        </is>
      </c>
      <c r="C73" s="7" t="inlineStr">
        <is>
          <t>AH1603</t>
        </is>
      </c>
      <c r="D73" s="8" t="inlineStr"/>
      <c r="E73" s="9" t="n">
        <v>1700</v>
      </c>
      <c r="F73" s="9" t="n">
        <v>1700</v>
      </c>
      <c r="G73" s="14">
        <f>F73-E73</f>
        <v/>
      </c>
      <c r="H73" s="15">
        <f>IF(E73&gt;0, F73/E73, 1)</f>
        <v/>
      </c>
      <c r="I73" s="12" t="n">
        <v>0</v>
      </c>
      <c r="J73" s="7" t="inlineStr">
        <is>
          <t>Không</t>
        </is>
      </c>
      <c r="K73" s="8" t="inlineStr">
        <is>
          <t>Sản xuất đúng định mức và quy trình công nghệ</t>
        </is>
      </c>
    </row>
    <row r="74" ht="20" customHeight="1">
      <c r="A74" s="7" t="n">
        <v>70</v>
      </c>
      <c r="B74" s="7" t="inlineStr">
        <is>
          <t>SX-0465</t>
        </is>
      </c>
      <c r="C74" s="7" t="inlineStr">
        <is>
          <t>VDM091</t>
        </is>
      </c>
      <c r="D74" s="8" t="inlineStr">
        <is>
          <t>Dung môi pha sơn VDM091</t>
        </is>
      </c>
      <c r="E74" s="9" t="n">
        <v>1710</v>
      </c>
      <c r="F74" s="9" t="n">
        <v>1710</v>
      </c>
      <c r="G74" s="14">
        <f>F74-E74</f>
        <v/>
      </c>
      <c r="H74" s="15">
        <f>IF(E74&gt;0, F74/E74, 1)</f>
        <v/>
      </c>
      <c r="I74" s="12" t="n">
        <v>0</v>
      </c>
      <c r="J74" s="7" t="inlineStr">
        <is>
          <t>Không</t>
        </is>
      </c>
      <c r="K74" s="8" t="inlineStr">
        <is>
          <t>Sản xuất đúng định mức và quy trình công nghệ</t>
        </is>
      </c>
    </row>
    <row r="75" ht="20" customHeight="1">
      <c r="A75" s="7" t="n">
        <v>71</v>
      </c>
      <c r="B75" s="7" t="inlineStr">
        <is>
          <t>SX-0467</t>
        </is>
      </c>
      <c r="C75" s="7" t="inlineStr">
        <is>
          <t>GF1253MC</t>
        </is>
      </c>
      <c r="D75" s="8" t="inlineStr"/>
      <c r="E75" s="9" t="n">
        <v>1920</v>
      </c>
      <c r="F75" s="9" t="n">
        <v>2096</v>
      </c>
      <c r="G75" s="10">
        <f>F75-E75</f>
        <v/>
      </c>
      <c r="H75" s="11">
        <f>IF(E75&gt;0, F75/E75, 1)</f>
        <v/>
      </c>
      <c r="I75" s="12" t="n">
        <v>0</v>
      </c>
      <c r="J75" s="13" t="inlineStr">
        <is>
          <t>Có</t>
        </is>
      </c>
      <c r="K75" s="8" t="inlineStr">
        <is>
          <t>Ghi chú tay: 'Tái GF1253-MC bị đông - 270kg' (sửa thành 290kg + 133kg); DM GF nạp 159kg (định mức 95kg); thực tế +176L (+9.2%)</t>
        </is>
      </c>
    </row>
    <row r="76" ht="20" customHeight="1">
      <c r="A76" s="16" t="n">
        <v>72</v>
      </c>
      <c r="B76" s="17" t="inlineStr">
        <is>
          <t>SX-0468</t>
        </is>
      </c>
      <c r="C76" s="17" t="inlineStr">
        <is>
          <t>GF1151MC</t>
        </is>
      </c>
      <c r="D76" s="18" t="inlineStr"/>
      <c r="E76" s="19" t="n">
        <v>1904</v>
      </c>
      <c r="F76" s="19" t="n">
        <v>1952</v>
      </c>
      <c r="G76" s="20">
        <f>F76-E76</f>
        <v/>
      </c>
      <c r="H76" s="21">
        <f>IF(E76&gt;0, F76/E76, 1)</f>
        <v/>
      </c>
      <c r="I76" s="22" t="n">
        <v>360</v>
      </c>
      <c r="J76" s="16" t="inlineStr">
        <is>
          <t>Có</t>
        </is>
      </c>
      <c r="K76" s="18" t="inlineStr">
        <is>
          <t>Dùng 360kg dung môi bẩn (205kg HCS bẩn đỏ + 155kg DM GF bẩn); gạch xóa sửa tay định mức dung môi sạch; đóng vượt 48L (+3 thùng 16L)</t>
        </is>
      </c>
    </row>
    <row r="77" ht="20" customHeight="1">
      <c r="A77" s="7" t="n">
        <v>73</v>
      </c>
      <c r="B77" s="7" t="inlineStr">
        <is>
          <t>SX-0469</t>
        </is>
      </c>
      <c r="C77" s="7" t="inlineStr">
        <is>
          <t>AMC3271</t>
        </is>
      </c>
      <c r="D77" s="8" t="inlineStr"/>
      <c r="E77" s="9" t="n">
        <v>1780</v>
      </c>
      <c r="F77" s="9" t="n">
        <v>1780</v>
      </c>
      <c r="G77" s="14">
        <f>F77-E77</f>
        <v/>
      </c>
      <c r="H77" s="15">
        <f>IF(E77&gt;0, F77/E77, 1)</f>
        <v/>
      </c>
      <c r="I77" s="12" t="n">
        <v>0</v>
      </c>
      <c r="J77" s="7" t="inlineStr">
        <is>
          <t>Không</t>
        </is>
      </c>
      <c r="K77" s="8" t="inlineStr">
        <is>
          <t>Sản xuất đúng định mức và quy trình công nghệ</t>
        </is>
      </c>
    </row>
    <row r="78" ht="20" customHeight="1">
      <c r="A78" s="16" t="n">
        <v>74</v>
      </c>
      <c r="B78" s="17" t="inlineStr">
        <is>
          <t>SX-0470</t>
        </is>
      </c>
      <c r="C78" s="17" t="inlineStr">
        <is>
          <t>GF1151MC</t>
        </is>
      </c>
      <c r="D78" s="18" t="inlineStr"/>
      <c r="E78" s="19" t="n">
        <v>1904</v>
      </c>
      <c r="F78" s="19" t="n">
        <v>1920</v>
      </c>
      <c r="G78" s="20">
        <f>F78-E78</f>
        <v/>
      </c>
      <c r="H78" s="21">
        <f>IF(E78&gt;0, F78/E78, 1)</f>
        <v/>
      </c>
      <c r="I78" s="22" t="n">
        <v>523</v>
      </c>
      <c r="J78" s="16" t="inlineStr">
        <is>
          <t>Có</t>
        </is>
      </c>
      <c r="K78" s="18" t="inlineStr">
        <is>
          <t>Dùng 523kg dung môi bẩn (489kg HCS bẩn đỏ + 34kg DM GF bẩn); gạch xóa thay thế hoàn toàn DM sạch lần 1; đóng vượt 16L (+1 thùng 16L)</t>
        </is>
      </c>
    </row>
    <row r="79" ht="20" customHeight="1">
      <c r="A79" s="7" t="n">
        <v>75</v>
      </c>
      <c r="B79" s="7" t="inlineStr">
        <is>
          <t>SX-0471</t>
        </is>
      </c>
      <c r="C79" s="7" t="inlineStr">
        <is>
          <t>GF1690MC</t>
        </is>
      </c>
      <c r="D79" s="8" t="inlineStr"/>
      <c r="E79" s="9" t="n">
        <v>120</v>
      </c>
      <c r="F79" s="9" t="n">
        <v>120</v>
      </c>
      <c r="G79" s="14">
        <f>F79-E79</f>
        <v/>
      </c>
      <c r="H79" s="15">
        <f>IF(E79&gt;0, F79/E79, 1)</f>
        <v/>
      </c>
      <c r="I79" s="12" t="n">
        <v>0</v>
      </c>
      <c r="J79" s="7" t="inlineStr">
        <is>
          <t>Không</t>
        </is>
      </c>
      <c r="K79" s="8" t="inlineStr">
        <is>
          <t>Sản xuất đúng định mức và quy trình công nghệ</t>
        </is>
      </c>
    </row>
    <row r="80" ht="20" customHeight="1">
      <c r="A80" s="7" t="n">
        <v>76</v>
      </c>
      <c r="B80" s="7" t="inlineStr">
        <is>
          <t>SX-0472</t>
        </is>
      </c>
      <c r="C80" s="7" t="inlineStr">
        <is>
          <t>SC01-MC</t>
        </is>
      </c>
      <c r="D80" s="8" t="inlineStr">
        <is>
          <t>Thinner For Silicon Aluminium</t>
        </is>
      </c>
      <c r="E80" s="9" t="n">
        <v>5</v>
      </c>
      <c r="F80" s="9" t="n">
        <v>5</v>
      </c>
      <c r="G80" s="14">
        <f>F80-E80</f>
        <v/>
      </c>
      <c r="H80" s="15">
        <f>IF(E80&gt;0, F80/E80, 1)</f>
        <v/>
      </c>
      <c r="I80" s="12" t="n">
        <v>0</v>
      </c>
      <c r="J80" s="7" t="inlineStr">
        <is>
          <t>Không</t>
        </is>
      </c>
      <c r="K80" s="8" t="inlineStr">
        <is>
          <t>Sản xuất đúng định mức và quy trình công nghệ</t>
        </is>
      </c>
    </row>
    <row r="81" ht="20" customHeight="1">
      <c r="A81" s="7" t="n">
        <v>77</v>
      </c>
      <c r="B81" s="7" t="inlineStr">
        <is>
          <t>SX-0473</t>
        </is>
      </c>
      <c r="C81" s="7" t="inlineStr">
        <is>
          <t>HPSC01</t>
        </is>
      </c>
      <c r="D81" s="8" t="inlineStr"/>
      <c r="E81" s="9" t="n">
        <v>348</v>
      </c>
      <c r="F81" s="9" t="n">
        <v>348</v>
      </c>
      <c r="G81" s="14">
        <f>F81-E81</f>
        <v/>
      </c>
      <c r="H81" s="15">
        <f>IF(E81&gt;0, F81/E81, 1)</f>
        <v/>
      </c>
      <c r="I81" s="12" t="n">
        <v>0</v>
      </c>
      <c r="J81" s="7" t="inlineStr">
        <is>
          <t>Không</t>
        </is>
      </c>
      <c r="K81" s="8" t="inlineStr">
        <is>
          <t>Sản xuất đúng định mức và quy trình công nghệ</t>
        </is>
      </c>
    </row>
    <row r="82" ht="20" customHeight="1">
      <c r="A82" s="7" t="n">
        <v>78</v>
      </c>
      <c r="B82" s="7" t="inlineStr">
        <is>
          <t>SX-0474</t>
        </is>
      </c>
      <c r="C82" s="7" t="inlineStr">
        <is>
          <t>HPSC3691</t>
        </is>
      </c>
      <c r="D82" s="8" t="inlineStr"/>
      <c r="E82" s="9" t="n">
        <v>200</v>
      </c>
      <c r="F82" s="9" t="n">
        <v>200</v>
      </c>
      <c r="G82" s="14">
        <f>F82-E82</f>
        <v/>
      </c>
      <c r="H82" s="15">
        <f>IF(E82&gt;0, F82/E82, 1)</f>
        <v/>
      </c>
      <c r="I82" s="12" t="n">
        <v>0</v>
      </c>
      <c r="J82" s="7" t="inlineStr">
        <is>
          <t>Không</t>
        </is>
      </c>
      <c r="K82" s="8" t="inlineStr">
        <is>
          <t>Sản xuất đúng định mức và quy trình công nghệ</t>
        </is>
      </c>
    </row>
    <row r="83" ht="20" customHeight="1">
      <c r="A83" s="7" t="n">
        <v>79</v>
      </c>
      <c r="B83" s="7" t="inlineStr">
        <is>
          <t>SX-0475</t>
        </is>
      </c>
      <c r="C83" s="7" t="inlineStr">
        <is>
          <t>DRPU02</t>
        </is>
      </c>
      <c r="D83" s="8" t="inlineStr"/>
      <c r="E83" s="9" t="n">
        <v>345.6</v>
      </c>
      <c r="F83" s="9" t="n">
        <v>345.6</v>
      </c>
      <c r="G83" s="14">
        <f>F83-E83</f>
        <v/>
      </c>
      <c r="H83" s="15">
        <f>IF(E83&gt;0, F83/E83, 1)</f>
        <v/>
      </c>
      <c r="I83" s="12" t="n">
        <v>0</v>
      </c>
      <c r="J83" s="7" t="inlineStr">
        <is>
          <t>Không</t>
        </is>
      </c>
      <c r="K83" s="8" t="inlineStr">
        <is>
          <t>Sản xuất đúng định mức và quy trình công nghệ</t>
        </is>
      </c>
    </row>
    <row r="84" ht="20" customHeight="1">
      <c r="A84" s="7" t="n">
        <v>80</v>
      </c>
      <c r="B84" s="7" t="inlineStr">
        <is>
          <t>SX-0476</t>
        </is>
      </c>
      <c r="C84" s="7" t="inlineStr">
        <is>
          <t>DREIL1L2</t>
        </is>
      </c>
      <c r="D84" s="8" t="inlineStr"/>
      <c r="E84" s="9" t="n">
        <v>208</v>
      </c>
      <c r="F84" s="9" t="n">
        <v>208</v>
      </c>
      <c r="G84" s="14">
        <f>F84-E84</f>
        <v/>
      </c>
      <c r="H84" s="15">
        <f>IF(E84&gt;0, F84/E84, 1)</f>
        <v/>
      </c>
      <c r="I84" s="12" t="n">
        <v>0</v>
      </c>
      <c r="J84" s="7" t="inlineStr">
        <is>
          <t>Không</t>
        </is>
      </c>
      <c r="K84" s="8" t="inlineStr">
        <is>
          <t>Sản xuất đúng định mức và quy trình công nghệ</t>
        </is>
      </c>
    </row>
    <row r="85" ht="20" customHeight="1">
      <c r="A85" s="7" t="n">
        <v>81</v>
      </c>
      <c r="B85" s="7" t="inlineStr">
        <is>
          <t>SX-0478</t>
        </is>
      </c>
      <c r="C85" s="7" t="inlineStr">
        <is>
          <t>AMC3151</t>
        </is>
      </c>
      <c r="D85" s="8" t="inlineStr"/>
      <c r="E85" s="9" t="n">
        <v>1100</v>
      </c>
      <c r="F85" s="9" t="n">
        <v>1100</v>
      </c>
      <c r="G85" s="14">
        <f>F85-E85</f>
        <v/>
      </c>
      <c r="H85" s="15">
        <f>IF(E85&gt;0, F85/E85, 1)</f>
        <v/>
      </c>
      <c r="I85" s="12" t="n">
        <v>0</v>
      </c>
      <c r="J85" s="7" t="inlineStr">
        <is>
          <t>Không</t>
        </is>
      </c>
      <c r="K85" s="8" t="inlineStr">
        <is>
          <t>Sản xuất đúng định mức và quy trình công nghệ</t>
        </is>
      </c>
    </row>
    <row r="86" ht="20" customHeight="1">
      <c r="A86" s="7" t="n">
        <v>82</v>
      </c>
      <c r="B86" s="7" t="inlineStr">
        <is>
          <t>SX-0480</t>
        </is>
      </c>
      <c r="C86" s="7" t="inlineStr">
        <is>
          <t>AMC3750B</t>
        </is>
      </c>
      <c r="D86" s="8" t="inlineStr"/>
      <c r="E86" s="9" t="n">
        <v>80</v>
      </c>
      <c r="F86" s="9" t="n">
        <v>80</v>
      </c>
      <c r="G86" s="14">
        <f>F86-E86</f>
        <v/>
      </c>
      <c r="H86" s="15">
        <f>IF(E86&gt;0, F86/E86, 1)</f>
        <v/>
      </c>
      <c r="I86" s="12" t="n">
        <v>0</v>
      </c>
      <c r="J86" s="7" t="inlineStr">
        <is>
          <t>Không</t>
        </is>
      </c>
      <c r="K86" s="8" t="inlineStr">
        <is>
          <t>Sản xuất đúng định mức và quy trình công nghệ</t>
        </is>
      </c>
    </row>
    <row r="87" ht="20" customHeight="1">
      <c r="A87" s="7" t="n">
        <v>83</v>
      </c>
      <c r="B87" s="7" t="inlineStr">
        <is>
          <t>SX-0482</t>
        </is>
      </c>
      <c r="C87" s="7" t="inlineStr">
        <is>
          <t>AMC01</t>
        </is>
      </c>
      <c r="D87" s="8" t="inlineStr"/>
      <c r="E87" s="9" t="n">
        <v>150</v>
      </c>
      <c r="F87" s="9" t="n">
        <v>150</v>
      </c>
      <c r="G87" s="14">
        <f>F87-E87</f>
        <v/>
      </c>
      <c r="H87" s="15">
        <f>IF(E87&gt;0, F87/E87, 1)</f>
        <v/>
      </c>
      <c r="I87" s="12" t="n">
        <v>0</v>
      </c>
      <c r="J87" s="7" t="inlineStr">
        <is>
          <t>Không</t>
        </is>
      </c>
      <c r="K87" s="8" t="inlineStr">
        <is>
          <t>Sản xuất đúng định mức và quy trình công nghệ</t>
        </is>
      </c>
    </row>
    <row r="88" ht="20" customHeight="1">
      <c r="A88" s="7" t="n">
        <v>84</v>
      </c>
      <c r="B88" s="7" t="inlineStr">
        <is>
          <t>SX-0483</t>
        </is>
      </c>
      <c r="C88" s="7" t="inlineStr">
        <is>
          <t>PU3690</t>
        </is>
      </c>
      <c r="D88" s="8" t="inlineStr">
        <is>
          <t>Sơn PU phủ màu trắng</t>
        </is>
      </c>
      <c r="E88" s="9" t="n">
        <v>80</v>
      </c>
      <c r="F88" s="9" t="n">
        <v>80</v>
      </c>
      <c r="G88" s="14">
        <f>F88-E88</f>
        <v/>
      </c>
      <c r="H88" s="15">
        <f>IF(E88&gt;0, F88/E88, 1)</f>
        <v/>
      </c>
      <c r="I88" s="12" t="n">
        <v>0</v>
      </c>
      <c r="J88" s="7" t="inlineStr">
        <is>
          <t>Không</t>
        </is>
      </c>
      <c r="K88" s="8" t="inlineStr">
        <is>
          <t>Sản xuất đúng định mức và quy trình công nghệ</t>
        </is>
      </c>
    </row>
    <row r="89" ht="20" customHeight="1">
      <c r="A89" s="7" t="n">
        <v>85</v>
      </c>
      <c r="B89" s="7" t="inlineStr">
        <is>
          <t>SX-0484</t>
        </is>
      </c>
      <c r="C89" s="7" t="inlineStr">
        <is>
          <t>PU3652</t>
        </is>
      </c>
      <c r="D89" s="8" t="inlineStr"/>
      <c r="E89" s="9" t="n">
        <v>740</v>
      </c>
      <c r="F89" s="9" t="n">
        <v>740</v>
      </c>
      <c r="G89" s="14">
        <f>F89-E89</f>
        <v/>
      </c>
      <c r="H89" s="15">
        <f>IF(E89&gt;0, F89/E89, 1)</f>
        <v/>
      </c>
      <c r="I89" s="12" t="n">
        <v>0</v>
      </c>
      <c r="J89" s="7" t="inlineStr">
        <is>
          <t>Không</t>
        </is>
      </c>
      <c r="K89" s="8" t="inlineStr">
        <is>
          <t>Sản xuất đúng định mức và quy trình công nghệ</t>
        </is>
      </c>
    </row>
    <row r="90" ht="20" customHeight="1">
      <c r="A90" s="7" t="n">
        <v>86</v>
      </c>
      <c r="B90" s="7" t="inlineStr">
        <is>
          <t>SX-0485</t>
        </is>
      </c>
      <c r="C90" s="7" t="inlineStr">
        <is>
          <t>PUZN3151</t>
        </is>
      </c>
      <c r="D90" s="8" t="inlineStr"/>
      <c r="E90" s="9" t="n">
        <v>400</v>
      </c>
      <c r="F90" s="9" t="n">
        <v>400</v>
      </c>
      <c r="G90" s="14">
        <f>F90-E90</f>
        <v/>
      </c>
      <c r="H90" s="15">
        <f>IF(E90&gt;0, F90/E90, 1)</f>
        <v/>
      </c>
      <c r="I90" s="12" t="n">
        <v>0</v>
      </c>
      <c r="J90" s="7" t="inlineStr">
        <is>
          <t>Không</t>
        </is>
      </c>
      <c r="K90" s="8" t="inlineStr">
        <is>
          <t>Sản xuất đúng định mức và quy trình công nghệ</t>
        </is>
      </c>
    </row>
    <row r="91" ht="20" customHeight="1">
      <c r="A91" s="7" t="n">
        <v>87</v>
      </c>
      <c r="B91" s="7" t="inlineStr">
        <is>
          <t>SX-0486</t>
        </is>
      </c>
      <c r="C91" s="7" t="inlineStr">
        <is>
          <t>VDM085</t>
        </is>
      </c>
      <c r="D91" s="8" t="inlineStr">
        <is>
          <t>Dung môi pha sơn VDM085</t>
        </is>
      </c>
      <c r="E91" s="9" t="n">
        <v>820</v>
      </c>
      <c r="F91" s="9" t="n">
        <v>820</v>
      </c>
      <c r="G91" s="14">
        <f>F91-E91</f>
        <v/>
      </c>
      <c r="H91" s="15">
        <f>IF(E91&gt;0, F91/E91, 1)</f>
        <v/>
      </c>
      <c r="I91" s="12" t="n">
        <v>0</v>
      </c>
      <c r="J91" s="7" t="inlineStr">
        <is>
          <t>Không</t>
        </is>
      </c>
      <c r="K91" s="8" t="inlineStr">
        <is>
          <t>Sản xuất đúng định mức và quy trình công nghệ</t>
        </is>
      </c>
    </row>
    <row r="92" ht="20" customHeight="1">
      <c r="A92" s="7" t="n">
        <v>88</v>
      </c>
      <c r="B92" s="7" t="inlineStr">
        <is>
          <t>SX-0487</t>
        </is>
      </c>
      <c r="C92" s="7" t="inlineStr">
        <is>
          <t>TH01MC</t>
        </is>
      </c>
      <c r="D92" s="8" t="inlineStr"/>
      <c r="E92" s="9" t="n">
        <v>350</v>
      </c>
      <c r="F92" s="9" t="n">
        <v>350</v>
      </c>
      <c r="G92" s="14">
        <f>F92-E92</f>
        <v/>
      </c>
      <c r="H92" s="15">
        <f>IF(E92&gt;0, F92/E92, 1)</f>
        <v/>
      </c>
      <c r="I92" s="12" t="n">
        <v>0</v>
      </c>
      <c r="J92" s="7" t="inlineStr">
        <is>
          <t>Không</t>
        </is>
      </c>
      <c r="K92" s="8" t="inlineStr">
        <is>
          <t>Sản xuất đúng định mức và quy trình công nghệ</t>
        </is>
      </c>
    </row>
    <row r="93" ht="20" customHeight="1">
      <c r="A93" s="7" t="n">
        <v>89</v>
      </c>
      <c r="B93" s="7" t="inlineStr">
        <is>
          <t>SX-0488</t>
        </is>
      </c>
      <c r="C93" s="7" t="inlineStr">
        <is>
          <t>ET01</t>
        </is>
      </c>
      <c r="D93" s="8" t="inlineStr"/>
      <c r="E93" s="9" t="n">
        <v>656</v>
      </c>
      <c r="F93" s="9" t="n">
        <v>656</v>
      </c>
      <c r="G93" s="14">
        <f>F93-E93</f>
        <v/>
      </c>
      <c r="H93" s="15">
        <f>IF(E93&gt;0, F93/E93, 1)</f>
        <v/>
      </c>
      <c r="I93" s="12" t="n">
        <v>0</v>
      </c>
      <c r="J93" s="7" t="inlineStr">
        <is>
          <t>Không</t>
        </is>
      </c>
      <c r="K93" s="8" t="inlineStr">
        <is>
          <t>Sản xuất đúng định mức và quy trình công nghệ</t>
        </is>
      </c>
    </row>
    <row r="94" ht="20" customHeight="1">
      <c r="A94" s="7" t="n">
        <v>90</v>
      </c>
      <c r="B94" s="7" t="inlineStr">
        <is>
          <t>SX-0489</t>
        </is>
      </c>
      <c r="C94" s="7" t="inlineStr">
        <is>
          <t>VDM62</t>
        </is>
      </c>
      <c r="D94" s="8" t="inlineStr"/>
      <c r="E94" s="9" t="n">
        <v>400</v>
      </c>
      <c r="F94" s="9" t="n">
        <v>400</v>
      </c>
      <c r="G94" s="14">
        <f>F94-E94</f>
        <v/>
      </c>
      <c r="H94" s="15">
        <f>IF(E94&gt;0, F94/E94, 1)</f>
        <v/>
      </c>
      <c r="I94" s="12" t="n">
        <v>0</v>
      </c>
      <c r="J94" s="7" t="inlineStr">
        <is>
          <t>Không</t>
        </is>
      </c>
      <c r="K94" s="8" t="inlineStr">
        <is>
          <t>Sản xuất đúng định mức và quy trình công nghệ</t>
        </is>
      </c>
    </row>
    <row r="95" ht="20" customHeight="1">
      <c r="A95" s="7" t="n">
        <v>91</v>
      </c>
      <c r="B95" s="7" t="inlineStr">
        <is>
          <t>SX-049</t>
        </is>
      </c>
      <c r="C95" s="7" t="inlineStr">
        <is>
          <t>AC1101N</t>
        </is>
      </c>
      <c r="D95" s="8" t="inlineStr"/>
      <c r="E95" s="9" t="n">
        <v>400</v>
      </c>
      <c r="F95" s="9" t="n">
        <v>400</v>
      </c>
      <c r="G95" s="14">
        <f>F95-E95</f>
        <v/>
      </c>
      <c r="H95" s="15">
        <f>IF(E95&gt;0, F95/E95, 1)</f>
        <v/>
      </c>
      <c r="I95" s="12" t="n">
        <v>0</v>
      </c>
      <c r="J95" s="7" t="inlineStr">
        <is>
          <t>Không</t>
        </is>
      </c>
      <c r="K95" s="8" t="inlineStr">
        <is>
          <t>Sản xuất đúng định mức và quy trình công nghệ</t>
        </is>
      </c>
    </row>
    <row r="96" ht="20" customHeight="1">
      <c r="A96" s="7" t="n">
        <v>92</v>
      </c>
      <c r="B96" s="7" t="inlineStr">
        <is>
          <t>SX-0490</t>
        </is>
      </c>
      <c r="C96" s="7" t="inlineStr">
        <is>
          <t>GF1375MC</t>
        </is>
      </c>
      <c r="D96" s="8" t="inlineStr"/>
      <c r="E96" s="9" t="n">
        <v>1904</v>
      </c>
      <c r="F96" s="9" t="n">
        <v>1904</v>
      </c>
      <c r="G96" s="14">
        <f>F96-E96</f>
        <v/>
      </c>
      <c r="H96" s="15">
        <f>IF(E96&gt;0, F96/E96, 1)</f>
        <v/>
      </c>
      <c r="I96" s="12" t="n">
        <v>0</v>
      </c>
      <c r="J96" s="7" t="inlineStr">
        <is>
          <t>Không</t>
        </is>
      </c>
      <c r="K96" s="8" t="inlineStr">
        <is>
          <t>Sản xuất đúng định mức và quy trình công nghệ</t>
        </is>
      </c>
    </row>
    <row r="97" ht="20" customHeight="1">
      <c r="A97" s="7" t="n">
        <v>93</v>
      </c>
      <c r="B97" s="7" t="inlineStr">
        <is>
          <t>SX-0492</t>
        </is>
      </c>
      <c r="C97" s="7" t="inlineStr">
        <is>
          <t>AMC01</t>
        </is>
      </c>
      <c r="D97" s="8" t="inlineStr"/>
      <c r="E97" s="9" t="n">
        <v>988</v>
      </c>
      <c r="F97" s="9" t="n">
        <v>988</v>
      </c>
      <c r="G97" s="14">
        <f>F97-E97</f>
        <v/>
      </c>
      <c r="H97" s="15">
        <f>IF(E97&gt;0, F97/E97, 1)</f>
        <v/>
      </c>
      <c r="I97" s="12" t="n">
        <v>0</v>
      </c>
      <c r="J97" s="7" t="inlineStr">
        <is>
          <t>Không</t>
        </is>
      </c>
      <c r="K97" s="8" t="inlineStr">
        <is>
          <t>Sản xuất đúng định mức và quy trình công nghệ</t>
        </is>
      </c>
    </row>
    <row r="98" ht="20" customHeight="1">
      <c r="A98" s="7" t="n">
        <v>94</v>
      </c>
      <c r="B98" s="7" t="inlineStr">
        <is>
          <t>SX-0493</t>
        </is>
      </c>
      <c r="C98" s="7" t="inlineStr">
        <is>
          <t>PU3650</t>
        </is>
      </c>
      <c r="D98" s="8" t="inlineStr"/>
      <c r="E98" s="9" t="n">
        <v>540</v>
      </c>
      <c r="F98" s="9" t="n">
        <v>540</v>
      </c>
      <c r="G98" s="14">
        <f>F98-E98</f>
        <v/>
      </c>
      <c r="H98" s="15">
        <f>IF(E98&gt;0, F98/E98, 1)</f>
        <v/>
      </c>
      <c r="I98" s="12" t="n">
        <v>0</v>
      </c>
      <c r="J98" s="7" t="inlineStr">
        <is>
          <t>Không</t>
        </is>
      </c>
      <c r="K98" s="8" t="inlineStr">
        <is>
          <t>Sản xuất đúng định mức và quy trình công nghệ</t>
        </is>
      </c>
    </row>
    <row r="99" ht="20" customHeight="1">
      <c r="A99" s="7" t="n">
        <v>95</v>
      </c>
      <c r="B99" s="7" t="inlineStr">
        <is>
          <t>SX-0495</t>
        </is>
      </c>
      <c r="C99" s="7" t="inlineStr">
        <is>
          <t>PU1000</t>
        </is>
      </c>
      <c r="D99" s="8" t="inlineStr">
        <is>
          <t>Name of product) MÄ sÅN PHAM (List ofgood) SÖ LUONG (Volume) I-SX (Batch ofproduct) NSX (Date ofproduct) sx-0495</t>
        </is>
      </c>
      <c r="E99" s="9" t="n">
        <v>100</v>
      </c>
      <c r="F99" s="9" t="n">
        <v>100</v>
      </c>
      <c r="G99" s="14">
        <f>F99-E99</f>
        <v/>
      </c>
      <c r="H99" s="15">
        <f>IF(E99&gt;0, F99/E99, 1)</f>
        <v/>
      </c>
      <c r="I99" s="12" t="n">
        <v>0</v>
      </c>
      <c r="J99" s="7" t="inlineStr">
        <is>
          <t>Không</t>
        </is>
      </c>
      <c r="K99" s="8" t="inlineStr">
        <is>
          <t>Sản xuất đúng định mức và quy trình công nghệ</t>
        </is>
      </c>
    </row>
    <row r="100" ht="20" customHeight="1">
      <c r="A100" s="7" t="n">
        <v>96</v>
      </c>
      <c r="B100" s="7" t="inlineStr">
        <is>
          <t>SX-0496</t>
        </is>
      </c>
      <c r="C100" s="7" t="inlineStr">
        <is>
          <t>HPA6018RALDQ</t>
        </is>
      </c>
      <c r="D100" s="8" t="inlineStr"/>
      <c r="E100" s="9" t="n">
        <v>700</v>
      </c>
      <c r="F100" s="9" t="n">
        <v>700</v>
      </c>
      <c r="G100" s="14">
        <f>F100-E100</f>
        <v/>
      </c>
      <c r="H100" s="15">
        <f>IF(E100&gt;0, F100/E100, 1)</f>
        <v/>
      </c>
      <c r="I100" s="12" t="n">
        <v>0</v>
      </c>
      <c r="J100" s="7" t="inlineStr">
        <is>
          <t>Không</t>
        </is>
      </c>
      <c r="K100" s="8" t="inlineStr">
        <is>
          <t>Sản xuất đúng định mức và quy trình công nghệ</t>
        </is>
      </c>
    </row>
    <row r="101" ht="20" customHeight="1">
      <c r="A101" s="7" t="n">
        <v>97</v>
      </c>
      <c r="B101" s="7" t="inlineStr">
        <is>
          <t>SX-0500</t>
        </is>
      </c>
      <c r="C101" s="7" t="inlineStr">
        <is>
          <t>AM3691</t>
        </is>
      </c>
      <c r="D101" s="8" t="inlineStr"/>
      <c r="E101" s="9" t="n">
        <v>70</v>
      </c>
      <c r="F101" s="9" t="n">
        <v>70</v>
      </c>
      <c r="G101" s="14">
        <f>F101-E101</f>
        <v/>
      </c>
      <c r="H101" s="15">
        <f>IF(E101&gt;0, F101/E101, 1)</f>
        <v/>
      </c>
      <c r="I101" s="12" t="n">
        <v>0</v>
      </c>
      <c r="J101" s="7" t="inlineStr">
        <is>
          <t>Không</t>
        </is>
      </c>
      <c r="K101" s="8" t="inlineStr">
        <is>
          <t>Sản xuất đúng định mức và quy trình công nghệ</t>
        </is>
      </c>
    </row>
    <row r="102" ht="20" customHeight="1">
      <c r="A102" s="7" t="n">
        <v>98</v>
      </c>
      <c r="B102" s="7" t="inlineStr">
        <is>
          <t>SX-0505</t>
        </is>
      </c>
      <c r="C102" s="7" t="inlineStr">
        <is>
          <t>GNA7035RAL</t>
        </is>
      </c>
      <c r="D102" s="8" t="inlineStr"/>
      <c r="E102" s="9" t="n">
        <v>200</v>
      </c>
      <c r="F102" s="9" t="n">
        <v>200</v>
      </c>
      <c r="G102" s="14">
        <f>F102-E102</f>
        <v/>
      </c>
      <c r="H102" s="15">
        <f>IF(E102&gt;0, F102/E102, 1)</f>
        <v/>
      </c>
      <c r="I102" s="12" t="n">
        <v>0</v>
      </c>
      <c r="J102" s="7" t="inlineStr">
        <is>
          <t>Không</t>
        </is>
      </c>
      <c r="K102" s="8" t="inlineStr">
        <is>
          <t>Sản xuất đúng định mức và quy trình công nghệ</t>
        </is>
      </c>
    </row>
    <row r="103" ht="20" customHeight="1">
      <c r="A103" s="7" t="n">
        <v>99</v>
      </c>
      <c r="B103" s="7" t="inlineStr">
        <is>
          <t>SX-0506</t>
        </is>
      </c>
      <c r="C103" s="7" t="inlineStr">
        <is>
          <t>AC1005</t>
        </is>
      </c>
      <c r="D103" s="8" t="inlineStr"/>
      <c r="E103" s="9" t="n">
        <v>200</v>
      </c>
      <c r="F103" s="9" t="n">
        <v>200</v>
      </c>
      <c r="G103" s="14">
        <f>F103-E103</f>
        <v/>
      </c>
      <c r="H103" s="15">
        <f>IF(E103&gt;0, F103/E103, 1)</f>
        <v/>
      </c>
      <c r="I103" s="12" t="n">
        <v>0</v>
      </c>
      <c r="J103" s="7" t="inlineStr">
        <is>
          <t>Không</t>
        </is>
      </c>
      <c r="K103" s="8" t="inlineStr">
        <is>
          <t>Sản xuất đúng định mức và quy trình công nghệ</t>
        </is>
      </c>
    </row>
    <row r="104" ht="20" customHeight="1">
      <c r="A104" s="7" t="n">
        <v>100</v>
      </c>
      <c r="B104" s="7" t="inlineStr">
        <is>
          <t>SX-0507</t>
        </is>
      </c>
      <c r="C104" s="7" t="inlineStr">
        <is>
          <t>EDD1602</t>
        </is>
      </c>
      <c r="D104" s="8" t="inlineStr"/>
      <c r="E104" s="9" t="n">
        <v>208</v>
      </c>
      <c r="F104" s="9" t="n">
        <v>208</v>
      </c>
      <c r="G104" s="14">
        <f>F104-E104</f>
        <v/>
      </c>
      <c r="H104" s="15">
        <f>IF(E104&gt;0, F104/E104, 1)</f>
        <v/>
      </c>
      <c r="I104" s="12" t="n">
        <v>0</v>
      </c>
      <c r="J104" s="7" t="inlineStr">
        <is>
          <t>Không</t>
        </is>
      </c>
      <c r="K104" s="8" t="inlineStr">
        <is>
          <t>Sản xuất đúng định mức và quy trình công nghệ</t>
        </is>
      </c>
    </row>
    <row r="105" ht="20" customHeight="1">
      <c r="A105" s="7" t="n">
        <v>101</v>
      </c>
      <c r="B105" s="7" t="inlineStr">
        <is>
          <t>SX-0509</t>
        </is>
      </c>
      <c r="C105" s="7" t="inlineStr">
        <is>
          <t>THM7047RAL</t>
        </is>
      </c>
      <c r="D105" s="8" t="inlineStr"/>
      <c r="E105" s="9" t="n">
        <v>1648</v>
      </c>
      <c r="F105" s="9" t="n">
        <v>1648</v>
      </c>
      <c r="G105" s="14">
        <f>F105-E105</f>
        <v/>
      </c>
      <c r="H105" s="15">
        <f>IF(E105&gt;0, F105/E105, 1)</f>
        <v/>
      </c>
      <c r="I105" s="12" t="n">
        <v>0</v>
      </c>
      <c r="J105" s="7" t="inlineStr">
        <is>
          <t>Không</t>
        </is>
      </c>
      <c r="K105" s="8" t="inlineStr">
        <is>
          <t>Sản xuất đúng định mức và quy trình công nghệ</t>
        </is>
      </c>
    </row>
    <row r="106" ht="20" customHeight="1">
      <c r="A106" s="7" t="n">
        <v>102</v>
      </c>
      <c r="B106" s="7" t="inlineStr">
        <is>
          <t>SX-0511</t>
        </is>
      </c>
      <c r="C106" s="7" t="inlineStr">
        <is>
          <t>ZE1601MC</t>
        </is>
      </c>
      <c r="D106" s="8" t="inlineStr"/>
      <c r="E106" s="9" t="n">
        <v>400</v>
      </c>
      <c r="F106" s="9" t="n">
        <v>406.4</v>
      </c>
      <c r="G106" s="10">
        <f>F106-E106</f>
        <v/>
      </c>
      <c r="H106" s="11">
        <f>IF(E106&gt;0, F106/E106, 1)</f>
        <v/>
      </c>
      <c r="I106" s="12" t="n">
        <v>0</v>
      </c>
      <c r="J106" s="13" t="inlineStr">
        <is>
          <t>Có</t>
        </is>
      </c>
      <c r="K106" s="8" t="inlineStr">
        <is>
          <t>Châm thêm 10kg dung môi HCS (tăng từ 160kg lên 170kg để hạ độ nhớt); đóng dư 6.4L</t>
        </is>
      </c>
    </row>
    <row r="107" ht="20" customHeight="1">
      <c r="A107" s="7" t="n">
        <v>103</v>
      </c>
      <c r="B107" s="7" t="inlineStr">
        <is>
          <t>SX-0512</t>
        </is>
      </c>
      <c r="C107" s="7" t="inlineStr">
        <is>
          <t>DRZE1601MC</t>
        </is>
      </c>
      <c r="D107" s="8" t="inlineStr"/>
      <c r="E107" s="9" t="n">
        <v>400</v>
      </c>
      <c r="F107" s="9" t="n">
        <v>406.4</v>
      </c>
      <c r="G107" s="10">
        <f>F107-E107</f>
        <v/>
      </c>
      <c r="H107" s="11">
        <f>IF(E107&gt;0, F107/E107, 1)</f>
        <v/>
      </c>
      <c r="I107" s="12" t="n">
        <v>0</v>
      </c>
      <c r="J107" s="13" t="inlineStr">
        <is>
          <t>Có</t>
        </is>
      </c>
      <c r="K107" s="8" t="inlineStr">
        <is>
          <t>Châm thêm 10kg dung môi HCS (tăng từ 160kg lên 170kg để hạ độ nhớt); đóng dư 6.4L</t>
        </is>
      </c>
    </row>
    <row r="108" ht="20" customHeight="1">
      <c r="A108" s="7" t="n">
        <v>104</v>
      </c>
      <c r="B108" s="7" t="inlineStr">
        <is>
          <t>SX-0515</t>
        </is>
      </c>
      <c r="C108" s="7" t="inlineStr">
        <is>
          <t>VDM089</t>
        </is>
      </c>
      <c r="D108" s="8" t="inlineStr">
        <is>
          <t>Dung môi pha sơn VDM089</t>
        </is>
      </c>
      <c r="E108" s="9" t="n">
        <v>710</v>
      </c>
      <c r="F108" s="9" t="n">
        <v>710</v>
      </c>
      <c r="G108" s="14">
        <f>F108-E108</f>
        <v/>
      </c>
      <c r="H108" s="15">
        <f>IF(E108&gt;0, F108/E108, 1)</f>
        <v/>
      </c>
      <c r="I108" s="12" t="n">
        <v>0</v>
      </c>
      <c r="J108" s="7" t="inlineStr">
        <is>
          <t>Không</t>
        </is>
      </c>
      <c r="K108" s="8" t="inlineStr">
        <is>
          <t>Sản xuất đúng định mức và quy trình công nghệ</t>
        </is>
      </c>
    </row>
    <row r="109" ht="20" customHeight="1">
      <c r="A109" s="7" t="n">
        <v>105</v>
      </c>
      <c r="B109" s="7" t="inlineStr">
        <is>
          <t>SX-0516</t>
        </is>
      </c>
      <c r="C109" s="7" t="inlineStr">
        <is>
          <t>DEZS1801MC</t>
        </is>
      </c>
      <c r="D109" s="8" t="inlineStr"/>
      <c r="E109" s="9" t="n">
        <v>8.100000000000001</v>
      </c>
      <c r="F109" s="9" t="n">
        <v>8.100000000000001</v>
      </c>
      <c r="G109" s="14">
        <f>F109-E109</f>
        <v/>
      </c>
      <c r="H109" s="15">
        <f>IF(E109&gt;0, F109/E109, 1)</f>
        <v/>
      </c>
      <c r="I109" s="12" t="n">
        <v>0</v>
      </c>
      <c r="J109" s="7" t="inlineStr">
        <is>
          <t>Không</t>
        </is>
      </c>
      <c r="K109" s="8" t="inlineStr">
        <is>
          <t>Sản xuất đúng định mức và quy trình công nghệ</t>
        </is>
      </c>
    </row>
    <row r="110" ht="20" customHeight="1">
      <c r="A110" s="7" t="n">
        <v>106</v>
      </c>
      <c r="B110" s="7" t="inlineStr">
        <is>
          <t>SX-0519</t>
        </is>
      </c>
      <c r="C110" s="7" t="inlineStr">
        <is>
          <t>AC3652</t>
        </is>
      </c>
      <c r="D110" s="8" t="inlineStr"/>
      <c r="E110" s="9" t="n">
        <v>300</v>
      </c>
      <c r="F110" s="9" t="n">
        <v>300</v>
      </c>
      <c r="G110" s="14">
        <f>F110-E110</f>
        <v/>
      </c>
      <c r="H110" s="15">
        <f>IF(E110&gt;0, F110/E110, 1)</f>
        <v/>
      </c>
      <c r="I110" s="12" t="n">
        <v>0</v>
      </c>
      <c r="J110" s="7" t="inlineStr">
        <is>
          <t>Không</t>
        </is>
      </c>
      <c r="K110" s="8" t="inlineStr">
        <is>
          <t>Sản xuất đúng định mức và quy trình công nghệ</t>
        </is>
      </c>
    </row>
    <row r="111" ht="20" customHeight="1">
      <c r="A111" s="7" t="n">
        <v>107</v>
      </c>
      <c r="B111" s="7" t="inlineStr">
        <is>
          <t>SX-0521</t>
        </is>
      </c>
      <c r="C111" s="7" t="inlineStr">
        <is>
          <t>PUZN3375</t>
        </is>
      </c>
      <c r="D111" s="8" t="inlineStr">
        <is>
          <t>Sơn PU kẽm màu xanh lá</t>
        </is>
      </c>
      <c r="E111" s="9" t="n">
        <v>160</v>
      </c>
      <c r="F111" s="9" t="n">
        <v>160</v>
      </c>
      <c r="G111" s="14">
        <f>F111-E111</f>
        <v/>
      </c>
      <c r="H111" s="15">
        <f>IF(E111&gt;0, F111/E111, 1)</f>
        <v/>
      </c>
      <c r="I111" s="12" t="n">
        <v>0</v>
      </c>
      <c r="J111" s="7" t="inlineStr">
        <is>
          <t>Không</t>
        </is>
      </c>
      <c r="K111" s="8" t="inlineStr">
        <is>
          <t>Sản xuất đúng định mức và quy trình công nghệ</t>
        </is>
      </c>
    </row>
    <row r="112" ht="20" customHeight="1">
      <c r="A112" s="7" t="n">
        <v>108</v>
      </c>
      <c r="B112" s="7" t="inlineStr">
        <is>
          <t>SX-0522</t>
        </is>
      </c>
      <c r="C112" s="7" t="inlineStr">
        <is>
          <t>AT01</t>
        </is>
      </c>
      <c r="D112" s="8" t="inlineStr"/>
      <c r="E112" s="9" t="n">
        <v>300</v>
      </c>
      <c r="F112" s="9" t="n">
        <v>300</v>
      </c>
      <c r="G112" s="14">
        <f>F112-E112</f>
        <v/>
      </c>
      <c r="H112" s="15">
        <f>IF(E112&gt;0, F112/E112, 1)</f>
        <v/>
      </c>
      <c r="I112" s="12" t="n">
        <v>0</v>
      </c>
      <c r="J112" s="7" t="inlineStr">
        <is>
          <t>Không</t>
        </is>
      </c>
      <c r="K112" s="8" t="inlineStr">
        <is>
          <t>Sản xuất đúng định mức và quy trình công nghệ</t>
        </is>
      </c>
    </row>
    <row r="113" ht="20" customHeight="1">
      <c r="A113" s="7" t="n">
        <v>109</v>
      </c>
      <c r="B113" s="7" t="inlineStr">
        <is>
          <t>SX-0524</t>
        </is>
      </c>
      <c r="C113" s="7" t="inlineStr">
        <is>
          <t>THA3691</t>
        </is>
      </c>
      <c r="D113" s="8" t="inlineStr"/>
      <c r="E113" s="9" t="n">
        <v>900</v>
      </c>
      <c r="F113" s="9" t="n">
        <v>900</v>
      </c>
      <c r="G113" s="14">
        <f>F113-E113</f>
        <v/>
      </c>
      <c r="H113" s="15">
        <f>IF(E113&gt;0, F113/E113, 1)</f>
        <v/>
      </c>
      <c r="I113" s="12" t="n">
        <v>0</v>
      </c>
      <c r="J113" s="7" t="inlineStr">
        <is>
          <t>Không</t>
        </is>
      </c>
      <c r="K113" s="8" t="inlineStr">
        <is>
          <t>Sản xuất đúng định mức và quy trình công nghệ</t>
        </is>
      </c>
    </row>
    <row r="114" ht="20" customHeight="1">
      <c r="A114" s="7" t="n">
        <v>110</v>
      </c>
      <c r="B114" s="7" t="inlineStr">
        <is>
          <t>SX-0529</t>
        </is>
      </c>
      <c r="C114" s="7" t="inlineStr">
        <is>
          <t>AT01</t>
        </is>
      </c>
      <c r="D114" s="8" t="inlineStr">
        <is>
          <t>Dung môi sơn Alkyd</t>
        </is>
      </c>
      <c r="E114" s="9" t="n">
        <v>948</v>
      </c>
      <c r="F114" s="9" t="n">
        <v>948</v>
      </c>
      <c r="G114" s="14">
        <f>F114-E114</f>
        <v/>
      </c>
      <c r="H114" s="15">
        <f>IF(E114&gt;0, F114/E114, 1)</f>
        <v/>
      </c>
      <c r="I114" s="12" t="n">
        <v>0</v>
      </c>
      <c r="J114" s="7" t="inlineStr">
        <is>
          <t>Không</t>
        </is>
      </c>
      <c r="K114" s="8" t="inlineStr">
        <is>
          <t>Sản xuất đúng định mức và quy trình công nghệ</t>
        </is>
      </c>
    </row>
    <row r="115" ht="20" customHeight="1">
      <c r="A115" s="7" t="n">
        <v>111</v>
      </c>
      <c r="B115" s="7" t="inlineStr">
        <is>
          <t>SX-0530</t>
        </is>
      </c>
      <c r="C115" s="7" t="inlineStr">
        <is>
          <t>PTH01</t>
        </is>
      </c>
      <c r="D115" s="8" t="inlineStr"/>
      <c r="E115" s="9" t="n">
        <v>950</v>
      </c>
      <c r="F115" s="9" t="n">
        <v>950</v>
      </c>
      <c r="G115" s="14">
        <f>F115-E115</f>
        <v/>
      </c>
      <c r="H115" s="15">
        <f>IF(E115&gt;0, F115/E115, 1)</f>
        <v/>
      </c>
      <c r="I115" s="12" t="n">
        <v>0</v>
      </c>
      <c r="J115" s="7" t="inlineStr">
        <is>
          <t>Không</t>
        </is>
      </c>
      <c r="K115" s="8" t="inlineStr">
        <is>
          <t>Sản xuất đúng định mức và quy trình công nghệ</t>
        </is>
      </c>
    </row>
    <row r="116" ht="20" customHeight="1">
      <c r="A116" s="7" t="n">
        <v>112</v>
      </c>
      <c r="B116" s="7" t="inlineStr">
        <is>
          <t>SX-0531</t>
        </is>
      </c>
      <c r="C116" s="7" t="inlineStr">
        <is>
          <t>AMC01</t>
        </is>
      </c>
      <c r="D116" s="8" t="inlineStr"/>
      <c r="E116" s="9" t="n">
        <v>148</v>
      </c>
      <c r="F116" s="9" t="n">
        <v>148</v>
      </c>
      <c r="G116" s="14">
        <f>F116-E116</f>
        <v/>
      </c>
      <c r="H116" s="15">
        <f>IF(E116&gt;0, F116/E116, 1)</f>
        <v/>
      </c>
      <c r="I116" s="12" t="n">
        <v>0</v>
      </c>
      <c r="J116" s="7" t="inlineStr">
        <is>
          <t>Không</t>
        </is>
      </c>
      <c r="K116" s="8" t="inlineStr">
        <is>
          <t>Sản xuất đúng định mức và quy trình công nghệ</t>
        </is>
      </c>
    </row>
    <row r="117" ht="20" customHeight="1">
      <c r="A117" s="7" t="n">
        <v>113</v>
      </c>
      <c r="B117" s="7" t="inlineStr">
        <is>
          <t>SX-0534</t>
        </is>
      </c>
      <c r="C117" s="7" t="inlineStr">
        <is>
          <t>AH01</t>
        </is>
      </c>
      <c r="D117" s="8" t="inlineStr"/>
      <c r="E117" s="9" t="n">
        <v>200</v>
      </c>
      <c r="F117" s="9" t="n">
        <v>200</v>
      </c>
      <c r="G117" s="14">
        <f>F117-E117</f>
        <v/>
      </c>
      <c r="H117" s="15">
        <f>IF(E117&gt;0, F117/E117, 1)</f>
        <v/>
      </c>
      <c r="I117" s="12" t="n">
        <v>0</v>
      </c>
      <c r="J117" s="7" t="inlineStr">
        <is>
          <t>Không</t>
        </is>
      </c>
      <c r="K117" s="8" t="inlineStr">
        <is>
          <t>Sản xuất đúng định mức và quy trình công nghệ</t>
        </is>
      </c>
    </row>
    <row r="118" ht="20" customHeight="1">
      <c r="A118" s="7" t="n">
        <v>114</v>
      </c>
      <c r="B118" s="7" t="inlineStr">
        <is>
          <t>SX-0537</t>
        </is>
      </c>
      <c r="C118" s="7" t="inlineStr">
        <is>
          <t>DRPU04</t>
        </is>
      </c>
      <c r="D118" s="8" t="inlineStr"/>
      <c r="E118" s="9" t="n">
        <v>388</v>
      </c>
      <c r="F118" s="9" t="n">
        <v>388</v>
      </c>
      <c r="G118" s="14">
        <f>F118-E118</f>
        <v/>
      </c>
      <c r="H118" s="15">
        <f>IF(E118&gt;0, F118/E118, 1)</f>
        <v/>
      </c>
      <c r="I118" s="12" t="n">
        <v>0</v>
      </c>
      <c r="J118" s="7" t="inlineStr">
        <is>
          <t>Không</t>
        </is>
      </c>
      <c r="K118" s="8" t="inlineStr">
        <is>
          <t>Sản xuất đúng định mức và quy trình công nghệ</t>
        </is>
      </c>
    </row>
    <row r="119" ht="20" customHeight="1">
      <c r="A119" s="7" t="n">
        <v>115</v>
      </c>
      <c r="B119" s="7" t="inlineStr">
        <is>
          <t>SX-0538</t>
        </is>
      </c>
      <c r="C119" s="7" t="inlineStr">
        <is>
          <t>ofgood</t>
        </is>
      </c>
      <c r="D119" s="8" t="inlineStr"/>
      <c r="E119" s="9" t="n">
        <v>164</v>
      </c>
      <c r="F119" s="9" t="n">
        <v>164</v>
      </c>
      <c r="G119" s="14">
        <f>F119-E119</f>
        <v/>
      </c>
      <c r="H119" s="15">
        <f>IF(E119&gt;0, F119/E119, 1)</f>
        <v/>
      </c>
      <c r="I119" s="12" t="n">
        <v>0</v>
      </c>
      <c r="J119" s="7" t="inlineStr">
        <is>
          <t>Không</t>
        </is>
      </c>
      <c r="K119" s="8" t="inlineStr">
        <is>
          <t>Sản xuất đúng định mức và quy trình công nghệ</t>
        </is>
      </c>
    </row>
    <row r="120" ht="20" customHeight="1">
      <c r="A120" s="7" t="n">
        <v>116</v>
      </c>
      <c r="B120" s="7" t="inlineStr">
        <is>
          <t>SX-0562</t>
        </is>
      </c>
      <c r="C120" s="7" t="inlineStr">
        <is>
          <t>VDM091</t>
        </is>
      </c>
      <c r="D120" s="8" t="inlineStr"/>
      <c r="E120" s="9" t="n">
        <v>252</v>
      </c>
      <c r="F120" s="9" t="n">
        <v>252</v>
      </c>
      <c r="G120" s="14">
        <f>F120-E120</f>
        <v/>
      </c>
      <c r="H120" s="15">
        <f>IF(E120&gt;0, F120/E120, 1)</f>
        <v/>
      </c>
      <c r="I120" s="12" t="n">
        <v>0</v>
      </c>
      <c r="J120" s="7" t="inlineStr">
        <is>
          <t>Không</t>
        </is>
      </c>
      <c r="K120" s="8" t="inlineStr">
        <is>
          <t>Sản xuất đúng định mức và quy trình công nghệ</t>
        </is>
      </c>
    </row>
    <row r="121" ht="20" customHeight="1">
      <c r="A121" s="7" t="n">
        <v>117</v>
      </c>
      <c r="B121" s="7" t="inlineStr">
        <is>
          <t>SX-0563</t>
        </is>
      </c>
      <c r="C121" s="7" t="inlineStr">
        <is>
          <t>VDM090</t>
        </is>
      </c>
      <c r="D121" s="8" t="inlineStr"/>
      <c r="E121" s="9" t="n">
        <v>855</v>
      </c>
      <c r="F121" s="9" t="n">
        <v>855</v>
      </c>
      <c r="G121" s="14">
        <f>F121-E121</f>
        <v/>
      </c>
      <c r="H121" s="15">
        <f>IF(E121&gt;0, F121/E121, 1)</f>
        <v/>
      </c>
      <c r="I121" s="12" t="n">
        <v>0</v>
      </c>
      <c r="J121" s="7" t="inlineStr">
        <is>
          <t>Không</t>
        </is>
      </c>
      <c r="K121" s="8" t="inlineStr">
        <is>
          <t>Sản xuất đúng định mức và quy trình công nghệ</t>
        </is>
      </c>
    </row>
    <row r="122" ht="20" customHeight="1">
      <c r="A122" s="7" t="n">
        <v>118</v>
      </c>
      <c r="B122" s="7" t="inlineStr">
        <is>
          <t>SX-415</t>
        </is>
      </c>
      <c r="C122" s="7" t="inlineStr">
        <is>
          <t>AC3354</t>
        </is>
      </c>
      <c r="D122" s="8" t="inlineStr"/>
      <c r="E122" s="9" t="n">
        <v>80</v>
      </c>
      <c r="F122" s="9" t="n">
        <v>80</v>
      </c>
      <c r="G122" s="14">
        <f>F122-E122</f>
        <v/>
      </c>
      <c r="H122" s="15">
        <f>IF(E122&gt;0, F122/E122, 1)</f>
        <v/>
      </c>
      <c r="I122" s="12" t="n">
        <v>0</v>
      </c>
      <c r="J122" s="7" t="inlineStr">
        <is>
          <t>Không</t>
        </is>
      </c>
      <c r="K122" s="8" t="inlineStr">
        <is>
          <t>Sản xuất đúng định mức và quy trình công nghệ</t>
        </is>
      </c>
    </row>
    <row r="123" ht="20" customHeight="1">
      <c r="A123" s="7" t="n">
        <v>119</v>
      </c>
      <c r="B123" s="7" t="inlineStr">
        <is>
          <t>TC-0020</t>
        </is>
      </c>
      <c r="C123" s="7" t="inlineStr">
        <is>
          <t>PU2K688</t>
        </is>
      </c>
      <c r="D123" s="8" t="inlineStr"/>
      <c r="E123" s="9" t="n">
        <v>400</v>
      </c>
      <c r="F123" s="9" t="n">
        <v>400</v>
      </c>
      <c r="G123" s="10">
        <f>F123-E123</f>
        <v/>
      </c>
      <c r="H123" s="11">
        <f>IF(E123&gt;0, F123/E123, 1)</f>
        <v/>
      </c>
      <c r="I123" s="12" t="n">
        <v>0</v>
      </c>
      <c r="J123" s="13" t="inlineStr">
        <is>
          <t>Có</t>
        </is>
      </c>
      <c r="K123" s="8" t="inlineStr">
        <is>
          <t>Phiếu xử lý tái chế lô PU2K688</t>
        </is>
      </c>
    </row>
    <row r="124" ht="20" customHeight="1">
      <c r="A124" s="7" t="n">
        <v>120</v>
      </c>
      <c r="B124" s="7" t="inlineStr">
        <is>
          <t>TC-0023</t>
        </is>
      </c>
      <c r="C124" s="7" t="inlineStr">
        <is>
          <t>DRHPEL3</t>
        </is>
      </c>
      <c r="D124" s="8" t="inlineStr">
        <is>
          <t>Dầu bóng đóng rắn</t>
        </is>
      </c>
      <c r="E124" s="9" t="n">
        <v>16</v>
      </c>
      <c r="F124" s="9" t="n">
        <v>16</v>
      </c>
      <c r="G124" s="10">
        <f>F124-E124</f>
        <v/>
      </c>
      <c r="H124" s="11">
        <f>IF(E124&gt;0, F124/E124, 1)</f>
        <v/>
      </c>
      <c r="I124" s="12" t="n">
        <v>0</v>
      </c>
      <c r="J124" s="13" t="inlineStr">
        <is>
          <t>Có</t>
        </is>
      </c>
      <c r="K124" s="8" t="inlineStr">
        <is>
          <t>Xử lý tái chế 16L</t>
        </is>
      </c>
    </row>
    <row r="125" ht="20" customHeight="1">
      <c r="A125" s="7" t="n">
        <v>121</v>
      </c>
      <c r="B125" s="7" t="inlineStr">
        <is>
          <t>TC-0043</t>
        </is>
      </c>
      <c r="C125" s="7" t="inlineStr">
        <is>
          <t>GF1151MC</t>
        </is>
      </c>
      <c r="D125" s="8" t="inlineStr"/>
      <c r="E125" s="9" t="n">
        <v>796</v>
      </c>
      <c r="F125" s="9" t="n">
        <v>796</v>
      </c>
      <c r="G125" s="10">
        <f>F125-E125</f>
        <v/>
      </c>
      <c r="H125" s="11">
        <f>IF(E125&gt;0, F125/E125, 1)</f>
        <v/>
      </c>
      <c r="I125" s="12" t="n">
        <v>0</v>
      </c>
      <c r="J125" s="13" t="inlineStr">
        <is>
          <t>Có</t>
        </is>
      </c>
      <c r="K125" s="8" t="inlineStr">
        <is>
          <t>Phiếu xử lý tái chế 796L; châm 39kg PMA; ghi chú: 'THÊM DUNG MÔI VÀO KHUẤY ĐỀU - KHÔNG ĐỔ RA THỐ - TÁI SỬ DỤNG ĐƯỢC THÙNG CŨ'</t>
        </is>
      </c>
    </row>
    <row r="126" ht="20" customHeight="1">
      <c r="A126" s="7" t="n">
        <v>122</v>
      </c>
      <c r="B126" s="7" t="inlineStr">
        <is>
          <t>TC-0046</t>
        </is>
      </c>
      <c r="C126" s="7" t="inlineStr">
        <is>
          <t>GNA5013RAL</t>
        </is>
      </c>
      <c r="D126" s="8" t="inlineStr">
        <is>
          <t>Sơn Alkyd bóng màu xanh dương</t>
        </is>
      </c>
      <c r="E126" s="9" t="n">
        <v>40</v>
      </c>
      <c r="F126" s="9" t="n">
        <v>40</v>
      </c>
      <c r="G126" s="10">
        <f>F126-E126</f>
        <v/>
      </c>
      <c r="H126" s="11">
        <f>IF(E126&gt;0, F126/E126, 1)</f>
        <v/>
      </c>
      <c r="I126" s="12" t="n">
        <v>0</v>
      </c>
      <c r="J126" s="13" t="inlineStr">
        <is>
          <t>Có</t>
        </is>
      </c>
      <c r="K126" s="8" t="inlineStr">
        <is>
          <t>Xử lý tái chế 40L; đóng 2 thùng 20L</t>
        </is>
      </c>
    </row>
    <row r="127" ht="20" customHeight="1">
      <c r="A127" s="7" t="n">
        <v>123</v>
      </c>
      <c r="B127" s="7" t="inlineStr">
        <is>
          <t>TC-0047</t>
        </is>
      </c>
      <c r="C127" s="7" t="inlineStr">
        <is>
          <t>AC3653N</t>
        </is>
      </c>
      <c r="D127" s="8" t="inlineStr"/>
      <c r="E127" s="9" t="n">
        <v>100</v>
      </c>
      <c r="F127" s="9" t="n">
        <v>100</v>
      </c>
      <c r="G127" s="10">
        <f>F127-E127</f>
        <v/>
      </c>
      <c r="H127" s="11">
        <f>IF(E127&gt;0, F127/E127, 1)</f>
        <v/>
      </c>
      <c r="I127" s="12" t="n">
        <v>0</v>
      </c>
      <c r="J127" s="13" t="inlineStr">
        <is>
          <t>Có</t>
        </is>
      </c>
      <c r="K127" s="8" t="inlineStr">
        <is>
          <t>Phiếu xử lý tái chế lô AC3653N</t>
        </is>
      </c>
    </row>
    <row r="128" ht="20" customHeight="1">
      <c r="A128" s="7" t="n">
        <v>124</v>
      </c>
      <c r="B128" s="7" t="inlineStr">
        <is>
          <t>TC-0048</t>
        </is>
      </c>
      <c r="C128" s="7" t="inlineStr">
        <is>
          <t>AR3452MC</t>
        </is>
      </c>
      <c r="D128" s="8" t="inlineStr"/>
      <c r="E128" s="9" t="n">
        <v>85</v>
      </c>
      <c r="F128" s="9" t="n">
        <v>85</v>
      </c>
      <c r="G128" s="10">
        <f>F128-E128</f>
        <v/>
      </c>
      <c r="H128" s="11">
        <f>IF(E128&gt;0, F128/E128, 1)</f>
        <v/>
      </c>
      <c r="I128" s="12" t="n">
        <v>0</v>
      </c>
      <c r="J128" s="13" t="inlineStr">
        <is>
          <t>Có</t>
        </is>
      </c>
      <c r="K128" s="8" t="inlineStr">
        <is>
          <t>Phiếu xử lý tái chế lô AR3452MC</t>
        </is>
      </c>
    </row>
    <row r="129" ht="20" customHeight="1">
      <c r="A129" s="7" t="n">
        <v>125</v>
      </c>
      <c r="B129" s="7" t="inlineStr">
        <is>
          <t>TC-0049</t>
        </is>
      </c>
      <c r="C129" s="7" t="inlineStr">
        <is>
          <t>AC-RAL9500-N</t>
        </is>
      </c>
      <c r="D129" s="8" t="inlineStr">
        <is>
          <t>Sơn Alkyd phủ màu đen bóng</t>
        </is>
      </c>
      <c r="E129" s="9" t="n">
        <v>300</v>
      </c>
      <c r="F129" s="9" t="n">
        <v>300</v>
      </c>
      <c r="G129" s="10">
        <f>F129-E129</f>
        <v/>
      </c>
      <c r="H129" s="11">
        <f>IF(E129&gt;0, F129/E129, 1)</f>
        <v/>
      </c>
      <c r="I129" s="12" t="n">
        <v>0</v>
      </c>
      <c r="J129" s="13" t="inlineStr">
        <is>
          <t>Có</t>
        </is>
      </c>
      <c r="K129" s="8" t="inlineStr">
        <is>
          <t>Xử lý tái chế 300L; đóng 60 lon 5L</t>
        </is>
      </c>
    </row>
    <row r="130" ht="20" customHeight="1">
      <c r="A130" s="7" t="n">
        <v>126</v>
      </c>
      <c r="B130" s="7" t="inlineStr">
        <is>
          <t>TC-0054</t>
        </is>
      </c>
      <c r="C130" s="7" t="inlineStr">
        <is>
          <t>PU9017RALMC</t>
        </is>
      </c>
      <c r="D130" s="8" t="inlineStr"/>
      <c r="E130" s="9" t="n">
        <v>400</v>
      </c>
      <c r="F130" s="9" t="n">
        <v>400</v>
      </c>
      <c r="G130" s="10">
        <f>F130-E130</f>
        <v/>
      </c>
      <c r="H130" s="11">
        <f>IF(E130&gt;0, F130/E130, 1)</f>
        <v/>
      </c>
      <c r="I130" s="12" t="n">
        <v>0</v>
      </c>
      <c r="J130" s="13" t="inlineStr">
        <is>
          <t>Có</t>
        </is>
      </c>
      <c r="K130" s="8" t="inlineStr">
        <is>
          <t>Phiếu xử lý tái chế lô PU9017RALMC</t>
        </is>
      </c>
    </row>
    <row r="131" ht="20" customHeight="1">
      <c r="A131" s="7" t="n">
        <v>127</v>
      </c>
      <c r="B131" s="7" t="inlineStr">
        <is>
          <t>TC-0055</t>
        </is>
      </c>
      <c r="C131" s="7" t="inlineStr">
        <is>
          <t>PU3020RALMC</t>
        </is>
      </c>
      <c r="D131" s="8" t="inlineStr"/>
      <c r="E131" s="9" t="n">
        <v>500</v>
      </c>
      <c r="F131" s="9" t="n">
        <v>500</v>
      </c>
      <c r="G131" s="10">
        <f>F131-E131</f>
        <v/>
      </c>
      <c r="H131" s="11">
        <f>IF(E131&gt;0, F131/E131, 1)</f>
        <v/>
      </c>
      <c r="I131" s="12" t="n">
        <v>0</v>
      </c>
      <c r="J131" s="13" t="inlineStr">
        <is>
          <t>Có</t>
        </is>
      </c>
      <c r="K131" s="8" t="inlineStr">
        <is>
          <t>Phiếu xử lý tái chế lô PU3020RALMC</t>
        </is>
      </c>
    </row>
    <row r="132" ht="20" customHeight="1">
      <c r="A132" s="7" t="n">
        <v>128</v>
      </c>
      <c r="B132" s="7" t="inlineStr">
        <is>
          <t>TC-0059</t>
        </is>
      </c>
      <c r="C132" s="7" t="inlineStr">
        <is>
          <t>AMC7035RALB</t>
        </is>
      </c>
      <c r="D132" s="8" t="inlineStr"/>
      <c r="E132" s="9" t="n">
        <v>340</v>
      </c>
      <c r="F132" s="9" t="n">
        <v>340</v>
      </c>
      <c r="G132" s="10">
        <f>F132-E132</f>
        <v/>
      </c>
      <c r="H132" s="11">
        <f>IF(E132&gt;0, F132/E132, 1)</f>
        <v/>
      </c>
      <c r="I132" s="12" t="n">
        <v>0</v>
      </c>
      <c r="J132" s="13" t="inlineStr">
        <is>
          <t>Có</t>
        </is>
      </c>
      <c r="K132" s="8" t="inlineStr">
        <is>
          <t>Phiếu xử lý tái chế lô AMC7035RALB</t>
        </is>
      </c>
    </row>
    <row r="133" ht="20" customHeight="1">
      <c r="A133" s="7" t="n">
        <v>129</v>
      </c>
      <c r="B133" s="7" t="inlineStr">
        <is>
          <t>TC-0060</t>
        </is>
      </c>
      <c r="C133" s="7" t="inlineStr">
        <is>
          <t>THA6024RAL</t>
        </is>
      </c>
      <c r="D133" s="8" t="inlineStr"/>
      <c r="E133" s="9" t="n">
        <v>100</v>
      </c>
      <c r="F133" s="9" t="n">
        <v>100</v>
      </c>
      <c r="G133" s="10">
        <f>F133-E133</f>
        <v/>
      </c>
      <c r="H133" s="11">
        <f>IF(E133&gt;0, F133/E133, 1)</f>
        <v/>
      </c>
      <c r="I133" s="12" t="n">
        <v>0</v>
      </c>
      <c r="J133" s="13" t="inlineStr">
        <is>
          <t>Có</t>
        </is>
      </c>
      <c r="K133" s="8" t="inlineStr">
        <is>
          <t>+2-0 L—) i.e CONG TYTNHH SOx THÉ HE PHIÉU xÜ TÅI CHÉ Mä THM-PIVl-i)4 Lån ban hånh: 01/(Å) lvc: 04/09/26 Trang: (Oder) 2 3 4 5 6 7 8 9 10 • 11 12 13 14 15 (M-Code) AM3375 AMQ6029RAL- AM3248 AC3690 AC3690-5L AM3375-2CL AM3375 THÄ3375 THA3618 AM3375-20L AMQ9003RAL- -3 TÉN NGUYÉN LIEU (Material) AM3375 crc— lö TONDAU-LE-rrc-m-AM3375) (lån AMQ6029RAL-KG crc — lö IONDAU-LE-ITC-TN- AM3248 (TC — lö TONDAU-LE-TLE-TN-AM3248) AC3690 (TC — lö TONDAU-LE-TLE-m-AC3690) AM3375-20L — lö TONDAU-LE-TLE-TN-AM3375- AM3375 (TC— lö TONDAU-LE-TLE-TN-AM337S) (lån THA3375 (TC — lö TONDAU-LE-TLE-m-THA3375) THA3618 — 10 TONDAU-LE-TLE-TN-THA3618) AM3375-20L crc— lö TONDAU-AM337S-20L) (lån 2) (TC—1ö SÖ LUONG (Amount) (Unit) Lit Lit Lit Lit Lit Lit Lit Lit Lit Lit (Batch No.) Yéu au (Request) 80 116 3 6 1 15 12 15 40 30 Thlrc té (Pr ice) SÖ PHIÉU (PCNN0.) TÉN PHAM (Name ofpmduct) MÄ SAN PHAM (List ofgood) SÖ LUONG (Volume) L S X (Batch ofproduct) NSX (Date ofpmduct) . TC-0060 : Son Alkyd phü måu xanh . THA6024RAL : 300 LiT : THA6024RAL-5L-02 . 09 . 26 THA6024RAL-20L-03 . 09 . 26 : 7/9/2026 Trich nhiém, cåc btr&amp;c tién hånh sin xuåt vi nh#p kho thånh phim * Quån dåc phån xtr&amp;ng nhén phiéu NCVT tty TP k' thuat, diéu tiét sin xuåt vå ghi ten nguåi chiu tråch nhiém våo muc lién quan trong phiéu NCVT * C6ng nhån sån xuåt nhan don ph6i lieu tü ngtr&amp;i quån 19, våo kho nh@n vat tu cüng thü kho vat tu. * Sån xuåt tuån thü dång quy trinh cöng nghé. * Thü kho thånh phåm nhöp son våo kho khi dä dtrgc phöng QLCL kiém tra chåt lugng dilt yéu cåu./. ty trong dv kién. Cåc thön såk thu t &amp; 33 - 340C håi tuån thü trtråc khi dån thin Tén chi tiéu Dö nhåt Dö dåy iC&amp;t Dö dåy khö Dö min TS' trpng So måu DVT KU Måu chuan Tiéu chuån Két quå tothvc té Két quå 70 ± 2 135-160 S 30 1.10 - 1.20 3 3 6 C) TONG CONG (Total) Ghi chü: STT MA VT (Oder) (M-Code) 2/6 chi tiéu chuu khai tiéu chu Itic Iépphieu — QC ghi tay theo tiéu chu n hién hånh. Ghi chü: . Tåi Che / tiéu son: (cho våo sau d'inh paste) DÖNG THÜNG (Type of barrel) DVT (Unit) Cåi Cåi Yéuc u est) SÖ LUONG (Amount) Thp•c t Pratice Mä SP Thü kho TP LSX Phöng QLCL NSX THÜNG 5L Lon 20L THM 2 VBB005 2CL 3 4 TONG CONG (Total) —y 20Tx 5L 20L 30 T S luvng 220 320 Quy cåch Quån dåc SX S lurqng Plié duyet</t>
        </is>
      </c>
    </row>
    <row r="134" ht="20" customHeight="1">
      <c r="A134" s="7" t="n">
        <v>130</v>
      </c>
      <c r="B134" s="7" t="inlineStr">
        <is>
          <t>TC-0061</t>
        </is>
      </c>
      <c r="C134" s="7" t="inlineStr">
        <is>
          <t>AT01</t>
        </is>
      </c>
      <c r="D134" s="8" t="inlineStr"/>
      <c r="E134" s="9" t="n">
        <v>300</v>
      </c>
      <c r="F134" s="9" t="n">
        <v>300</v>
      </c>
      <c r="G134" s="10">
        <f>F134-E134</f>
        <v/>
      </c>
      <c r="H134" s="11">
        <f>IF(E134&gt;0, F134/E134, 1)</f>
        <v/>
      </c>
      <c r="I134" s="12" t="n">
        <v>0</v>
      </c>
      <c r="J134" s="13" t="inlineStr">
        <is>
          <t>Có</t>
        </is>
      </c>
      <c r="K134" s="8" t="inlineStr">
        <is>
          <t>Phiếu xử lý tái chế lô AT01</t>
        </is>
      </c>
    </row>
    <row r="135" ht="20" customHeight="1">
      <c r="A135" s="7" t="n">
        <v>131</v>
      </c>
      <c r="B135" s="7" t="inlineStr">
        <is>
          <t>TC-0063</t>
        </is>
      </c>
      <c r="C135" s="7" t="inlineStr">
        <is>
          <t>AMC3452B</t>
        </is>
      </c>
      <c r="D135" s="8" t="inlineStr"/>
      <c r="E135" s="9" t="n">
        <v>20</v>
      </c>
      <c r="F135" s="9" t="n">
        <v>20</v>
      </c>
      <c r="G135" s="10">
        <f>F135-E135</f>
        <v/>
      </c>
      <c r="H135" s="11">
        <f>IF(E135&gt;0, F135/E135, 1)</f>
        <v/>
      </c>
      <c r="I135" s="12" t="n">
        <v>0</v>
      </c>
      <c r="J135" s="13" t="inlineStr">
        <is>
          <t>Có</t>
        </is>
      </c>
      <c r="K135" s="8" t="inlineStr">
        <is>
          <t>Phiếu xử lý tái chế lô AMC3452B</t>
        </is>
      </c>
    </row>
    <row r="136" ht="20" customHeight="1">
      <c r="A136" s="7" t="n">
        <v>132</v>
      </c>
      <c r="B136" s="7" t="inlineStr">
        <is>
          <t>TC-0065</t>
        </is>
      </c>
      <c r="C136" s="7" t="inlineStr">
        <is>
          <t>HPA5004RAL</t>
        </is>
      </c>
      <c r="D136" s="8" t="inlineStr"/>
      <c r="E136" s="9" t="n">
        <v>75</v>
      </c>
      <c r="F136" s="9" t="n">
        <v>75</v>
      </c>
      <c r="G136" s="10">
        <f>F136-E136</f>
        <v/>
      </c>
      <c r="H136" s="11">
        <f>IF(E136&gt;0, F136/E136, 1)</f>
        <v/>
      </c>
      <c r="I136" s="12" t="n">
        <v>0</v>
      </c>
      <c r="J136" s="13" t="inlineStr">
        <is>
          <t>Có</t>
        </is>
      </c>
      <c r="K136" s="8" t="inlineStr">
        <is>
          <t>Phiếu xử lý tái chế lô HPA5004RAL</t>
        </is>
      </c>
    </row>
    <row r="137" ht="20" customHeight="1">
      <c r="A137" s="7" t="n">
        <v>133</v>
      </c>
      <c r="B137" s="7" t="inlineStr">
        <is>
          <t>TC-0066</t>
        </is>
      </c>
      <c r="C137" s="7" t="inlineStr">
        <is>
          <t>EH2104</t>
        </is>
      </c>
      <c r="D137" s="8" t="inlineStr"/>
      <c r="E137" s="9" t="n">
        <v>48</v>
      </c>
      <c r="F137" s="9" t="n">
        <v>48</v>
      </c>
      <c r="G137" s="10">
        <f>F137-E137</f>
        <v/>
      </c>
      <c r="H137" s="11">
        <f>IF(E137&gt;0, F137/E137, 1)</f>
        <v/>
      </c>
      <c r="I137" s="12" t="n">
        <v>0</v>
      </c>
      <c r="J137" s="13" t="inlineStr">
        <is>
          <t>Có</t>
        </is>
      </c>
      <c r="K137" s="8" t="inlineStr">
        <is>
          <t>Phiếu xử lý tái chế lô EH2104</t>
        </is>
      </c>
    </row>
    <row r="138" ht="20" customHeight="1">
      <c r="A138" s="7" t="n">
        <v>134</v>
      </c>
      <c r="B138" s="7" t="inlineStr">
        <is>
          <t>TC-0067</t>
        </is>
      </c>
      <c r="C138" s="7" t="inlineStr">
        <is>
          <t>EC3653</t>
        </is>
      </c>
      <c r="D138" s="8" t="inlineStr"/>
      <c r="E138" s="9" t="n">
        <v>80</v>
      </c>
      <c r="F138" s="9" t="n">
        <v>80</v>
      </c>
      <c r="G138" s="10">
        <f>F138-E138</f>
        <v/>
      </c>
      <c r="H138" s="11">
        <f>IF(E138&gt;0, F138/E138, 1)</f>
        <v/>
      </c>
      <c r="I138" s="12" t="n">
        <v>0</v>
      </c>
      <c r="J138" s="13" t="inlineStr">
        <is>
          <t>Có</t>
        </is>
      </c>
      <c r="K138" s="8" t="inlineStr">
        <is>
          <t>Sản xuất đúng định mức và quy trình công nghệ</t>
        </is>
      </c>
    </row>
    <row r="139" ht="20" customHeight="1">
      <c r="A139" s="7" t="n">
        <v>135</v>
      </c>
      <c r="B139" s="7" t="inlineStr">
        <is>
          <t>TC-0068</t>
        </is>
      </c>
      <c r="C139" s="7" t="inlineStr">
        <is>
          <t>AC1101</t>
        </is>
      </c>
      <c r="D139" s="8" t="inlineStr"/>
      <c r="E139" s="9" t="n">
        <v>500</v>
      </c>
      <c r="F139" s="9" t="n">
        <v>500</v>
      </c>
      <c r="G139" s="10">
        <f>F139-E139</f>
        <v/>
      </c>
      <c r="H139" s="11">
        <f>IF(E139&gt;0, F139/E139, 1)</f>
        <v/>
      </c>
      <c r="I139" s="12" t="n">
        <v>0</v>
      </c>
      <c r="J139" s="13" t="inlineStr">
        <is>
          <t>Có</t>
        </is>
      </c>
      <c r="K139" s="8" t="inlineStr">
        <is>
          <t>Phiếu xử lý tái chế lô AC1101</t>
        </is>
      </c>
    </row>
    <row r="140" ht="20" customHeight="1">
      <c r="A140" s="7" t="n">
        <v>136</v>
      </c>
      <c r="B140" s="7" t="inlineStr">
        <is>
          <t>TC-0069</t>
        </is>
      </c>
      <c r="C140" s="7" t="inlineStr">
        <is>
          <t>AH3562M</t>
        </is>
      </c>
      <c r="D140" s="8" t="inlineStr">
        <is>
          <t>Sơn Alkyd biến tính màu xám</t>
        </is>
      </c>
      <c r="E140" s="9" t="n">
        <v>60</v>
      </c>
      <c r="F140" s="9" t="n">
        <v>60</v>
      </c>
      <c r="G140" s="10">
        <f>F140-E140</f>
        <v/>
      </c>
      <c r="H140" s="11">
        <f>IF(E140&gt;0, F140/E140, 1)</f>
        <v/>
      </c>
      <c r="I140" s="12" t="n">
        <v>0</v>
      </c>
      <c r="J140" s="13" t="inlineStr">
        <is>
          <t>Có</t>
        </is>
      </c>
      <c r="K140" s="8" t="inlineStr">
        <is>
          <t>Xử lý tái chế 60L; đóng 3 thùng 20L</t>
        </is>
      </c>
    </row>
    <row r="141" ht="20" customHeight="1">
      <c r="A141" s="7" t="n">
        <v>137</v>
      </c>
      <c r="B141" s="7" t="inlineStr">
        <is>
          <t>TC-0070</t>
        </is>
      </c>
      <c r="C141" s="7" t="inlineStr">
        <is>
          <t>PU3627M</t>
        </is>
      </c>
      <c r="D141" s="8" t="inlineStr">
        <is>
          <t>Sơn PU màu xám mờ</t>
        </is>
      </c>
      <c r="E141" s="9" t="n">
        <v>20</v>
      </c>
      <c r="F141" s="9" t="n">
        <v>20</v>
      </c>
      <c r="G141" s="10">
        <f>F141-E141</f>
        <v/>
      </c>
      <c r="H141" s="11">
        <f>IF(E141&gt;0, F141/E141, 1)</f>
        <v/>
      </c>
      <c r="I141" s="12" t="n">
        <v>0</v>
      </c>
      <c r="J141" s="13" t="inlineStr">
        <is>
          <t>Có</t>
        </is>
      </c>
      <c r="K141" s="8" t="inlineStr">
        <is>
          <t>Xử lý tái chế 20L; đóng 1 thùng 20L</t>
        </is>
      </c>
    </row>
    <row r="142" ht="20" customHeight="1">
      <c r="A142" s="7" t="n">
        <v>138</v>
      </c>
      <c r="B142" s="7" t="inlineStr">
        <is>
          <t>TC-0071</t>
        </is>
      </c>
      <c r="C142" s="7" t="inlineStr">
        <is>
          <t>HPSC3750</t>
        </is>
      </c>
      <c r="D142" s="8" t="inlineStr">
        <is>
          <t>Name ofproduct) MÄ sÅN PHAM (List ofgood) SÖ LUONG (Volume) LSX (Batch of product) NSX (Date of poduct)</t>
        </is>
      </c>
      <c r="E142" s="9" t="n">
        <v>80</v>
      </c>
      <c r="F142" s="9" t="n">
        <v>80</v>
      </c>
      <c r="G142" s="10">
        <f>F142-E142</f>
        <v/>
      </c>
      <c r="H142" s="11">
        <f>IF(E142&gt;0, F142/E142, 1)</f>
        <v/>
      </c>
      <c r="I142" s="12" t="n">
        <v>0</v>
      </c>
      <c r="J142" s="13" t="inlineStr">
        <is>
          <t>Có</t>
        </is>
      </c>
      <c r="K142" s="8" t="inlineStr">
        <is>
          <t>Phiếu xử lý tái chế lô HPSC3750</t>
        </is>
      </c>
    </row>
    <row r="143" ht="20" customHeight="1">
      <c r="A143" s="7" t="n">
        <v>139</v>
      </c>
      <c r="B143" s="7" t="inlineStr">
        <is>
          <t>TC-0073</t>
        </is>
      </c>
      <c r="C143" s="7" t="inlineStr">
        <is>
          <t>AC3150</t>
        </is>
      </c>
      <c r="D143" s="8" t="inlineStr"/>
      <c r="E143" s="9" t="n">
        <v>60</v>
      </c>
      <c r="F143" s="9" t="n">
        <v>60</v>
      </c>
      <c r="G143" s="10">
        <f>F143-E143</f>
        <v/>
      </c>
      <c r="H143" s="11">
        <f>IF(E143&gt;0, F143/E143, 1)</f>
        <v/>
      </c>
      <c r="I143" s="12" t="n">
        <v>0</v>
      </c>
      <c r="J143" s="13" t="inlineStr">
        <is>
          <t>Có</t>
        </is>
      </c>
      <c r="K143" s="8" t="inlineStr">
        <is>
          <t>Phiếu xử lý tái chế lô AC3150</t>
        </is>
      </c>
    </row>
    <row r="144" ht="20" customHeight="1">
      <c r="A144" s="7" t="n">
        <v>140</v>
      </c>
      <c r="B144" s="7" t="inlineStr">
        <is>
          <t>TC-0074</t>
        </is>
      </c>
      <c r="C144" s="7" t="inlineStr">
        <is>
          <t>AC-RAL7040-N</t>
        </is>
      </c>
      <c r="D144" s="8" t="inlineStr">
        <is>
          <t>Sơn Alkyd phủ màu xám ghi</t>
        </is>
      </c>
      <c r="E144" s="9" t="n">
        <v>300</v>
      </c>
      <c r="F144" s="9" t="n">
        <v>300</v>
      </c>
      <c r="G144" s="10">
        <f>F144-E144</f>
        <v/>
      </c>
      <c r="H144" s="11">
        <f>IF(E144&gt;0, F144/E144, 1)</f>
        <v/>
      </c>
      <c r="I144" s="12" t="n">
        <v>0</v>
      </c>
      <c r="J144" s="13" t="inlineStr">
        <is>
          <t>Có</t>
        </is>
      </c>
      <c r="K144" s="8" t="inlineStr">
        <is>
          <t>Xử lý tái chế 300L từ lô AC7001RAL tồn đầu; đóng 60 lon 5L</t>
        </is>
      </c>
    </row>
    <row r="145" ht="20" customHeight="1">
      <c r="A145" s="7" t="n">
        <v>141</v>
      </c>
      <c r="B145" s="7" t="inlineStr">
        <is>
          <t>TC-0075</t>
        </is>
      </c>
      <c r="C145" s="7" t="inlineStr">
        <is>
          <t>THA7001RAL</t>
        </is>
      </c>
      <c r="D145" s="8" t="inlineStr"/>
      <c r="E145" s="9" t="n">
        <v>75</v>
      </c>
      <c r="F145" s="9" t="n">
        <v>75</v>
      </c>
      <c r="G145" s="10">
        <f>F145-E145</f>
        <v/>
      </c>
      <c r="H145" s="11">
        <f>IF(E145&gt;0, F145/E145, 1)</f>
        <v/>
      </c>
      <c r="I145" s="12" t="n">
        <v>0</v>
      </c>
      <c r="J145" s="13" t="inlineStr">
        <is>
          <t>Có</t>
        </is>
      </c>
      <c r="K145" s="8" t="inlineStr">
        <is>
          <t>Phiếu xử lý tái chế lô THA7001RAL</t>
        </is>
      </c>
    </row>
    <row r="146" ht="20" customHeight="1">
      <c r="A146" s="7" t="n">
        <v>142</v>
      </c>
      <c r="B146" s="7" t="inlineStr">
        <is>
          <t>TC-0076</t>
        </is>
      </c>
      <c r="C146" s="7" t="inlineStr">
        <is>
          <t>AC3750</t>
        </is>
      </c>
      <c r="D146" s="8" t="inlineStr">
        <is>
          <t>Sơn Alkyd phủ màu đen</t>
        </is>
      </c>
      <c r="E146" s="9" t="n">
        <v>16</v>
      </c>
      <c r="F146" s="9" t="n">
        <v>16</v>
      </c>
      <c r="G146" s="10">
        <f>F146-E146</f>
        <v/>
      </c>
      <c r="H146" s="11">
        <f>IF(E146&gt;0, F146/E146, 1)</f>
        <v/>
      </c>
      <c r="I146" s="12" t="n">
        <v>0</v>
      </c>
      <c r="J146" s="13" t="inlineStr">
        <is>
          <t>Có</t>
        </is>
      </c>
      <c r="K146" s="8" t="inlineStr">
        <is>
          <t>Xử lý tái chế 16L; sang thùng lon 1L (20 lon x 0.8L); ghi chú: Kiểm tra có tách nước không</t>
        </is>
      </c>
    </row>
    <row r="147" ht="20" customHeight="1">
      <c r="A147" s="7" t="n">
        <v>143</v>
      </c>
      <c r="B147" s="7" t="inlineStr">
        <is>
          <t>TC-0079</t>
        </is>
      </c>
      <c r="C147" s="7" t="inlineStr">
        <is>
          <t>PUZN9010RAL</t>
        </is>
      </c>
      <c r="D147" s="8" t="inlineStr">
        <is>
          <t>Sơn PU kẽm màu trắng sữa</t>
        </is>
      </c>
      <c r="E147" s="9" t="n">
        <v>20</v>
      </c>
      <c r="F147" s="9" t="n">
        <v>20</v>
      </c>
      <c r="G147" s="10">
        <f>F147-E147</f>
        <v/>
      </c>
      <c r="H147" s="11">
        <f>IF(E147&gt;0, F147/E147, 1)</f>
        <v/>
      </c>
      <c r="I147" s="12" t="n">
        <v>0</v>
      </c>
      <c r="J147" s="13" t="inlineStr">
        <is>
          <t>Có</t>
        </is>
      </c>
      <c r="K147" s="8" t="inlineStr">
        <is>
          <t>Xử lý tái chế 20L; đóng 1 thùng 20L</t>
        </is>
      </c>
    </row>
    <row r="148" ht="20" customHeight="1">
      <c r="A148" s="7" t="n">
        <v>144</v>
      </c>
      <c r="B148" s="7" t="inlineStr">
        <is>
          <t>TC-0088</t>
        </is>
      </c>
      <c r="C148" s="7" t="inlineStr">
        <is>
          <t>AC3389</t>
        </is>
      </c>
      <c r="D148" s="8" t="inlineStr"/>
      <c r="E148" s="9" t="n">
        <v>240</v>
      </c>
      <c r="F148" s="9" t="n">
        <v>240</v>
      </c>
      <c r="G148" s="10">
        <f>F148-E148</f>
        <v/>
      </c>
      <c r="H148" s="11">
        <f>IF(E148&gt;0, F148/E148, 1)</f>
        <v/>
      </c>
      <c r="I148" s="12" t="n">
        <v>0</v>
      </c>
      <c r="J148" s="13" t="inlineStr">
        <is>
          <t>Có</t>
        </is>
      </c>
      <c r="K148" s="8" t="inlineStr">
        <is>
          <t>Phiếu xử lý tái chế lô AC3389</t>
        </is>
      </c>
    </row>
    <row r="149" ht="25" customHeight="1">
      <c r="A149" s="23" t="inlineStr">
        <is>
          <t>TỔNG CỘNG TOÀN NHÀ MÁY (144 BATCHES)</t>
        </is>
      </c>
      <c r="B149" s="24" t="n"/>
      <c r="C149" s="24" t="n"/>
      <c r="D149" s="24" t="n"/>
      <c r="E149" s="25">
        <f>SUM(E5:E148)</f>
        <v/>
      </c>
      <c r="F149" s="25">
        <f>SUM(F5:F148)</f>
        <v/>
      </c>
      <c r="G149" s="26">
        <f>SUM(G5:G148)</f>
        <v/>
      </c>
      <c r="H149" s="27">
        <f>F149/E149</f>
        <v/>
      </c>
      <c r="I149" s="28">
        <f>SUM(I5:I148)</f>
        <v/>
      </c>
      <c r="J149" s="23" t="inlineStr">
        <is>
          <t>42 Phiếu</t>
        </is>
      </c>
      <c r="K149" s="24" t="inlineStr">
        <is>
          <t>Tổng lượng dung môi bẩn: 883.0 kg; Sơn đông tái chế: 6,865 kg</t>
        </is>
      </c>
    </row>
  </sheetData>
  <mergeCells count="3">
    <mergeCell ref="A2:K2"/>
    <mergeCell ref="A1:K1"/>
    <mergeCell ref="A149:D1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45" customWidth="1" min="2" max="2"/>
    <col width="28" customWidth="1" min="3" max="3"/>
    <col width="75" customWidth="1" min="4" max="4"/>
  </cols>
  <sheetData>
    <row r="1" ht="28" customHeight="1">
      <c r="A1" s="29" t="inlineStr">
        <is>
          <t>BẢNG TỔNG HỢP CẢNH BÁO NGUY CƠ CHẤT LƯỢNG CAO (CRITICAL QUALITY ALERTS)</t>
        </is>
      </c>
    </row>
    <row r="3" ht="25" customHeight="1">
      <c r="A3" s="30" t="inlineStr">
        <is>
          <t>Hạng mục vi phạm</t>
        </is>
      </c>
      <c r="B3" s="30" t="inlineStr">
        <is>
          <t>Mã sơn &amp; Lô sản xuất</t>
        </is>
      </c>
      <c r="C3" s="30" t="inlineStr">
        <is>
          <t>Mức độ rủi ro</t>
        </is>
      </c>
      <c r="D3" s="30" t="inlineStr">
        <is>
          <t>Hậu quả kỹ thuật và bảo hành</t>
        </is>
      </c>
    </row>
    <row r="4" ht="25" customHeight="1">
      <c r="A4" s="31" t="inlineStr">
        <is>
          <t>1. Vi phạm nạp Dung môi bẩn súc bồn (883 kg)</t>
        </is>
      </c>
      <c r="B4" s="32" t="inlineStr">
        <is>
          <t>GF1151-MC (SX-0468: 360 kg; SX-0470: 523 kg)</t>
        </is>
      </c>
      <c r="C4" s="33" t="inlineStr">
        <is>
          <t>RỦI RO CỰC KỲ NGHIÊM TRỌNG</t>
        </is>
      </c>
      <c r="D4" s="32" t="inlineStr">
        <is>
          <t>Phá vỡ tỷ lệ đóng rắn, tạo vi bọt xốp, phá hủy chỉ tiêu kháng ăn mòn C5M ISO 12944-6</t>
        </is>
      </c>
    </row>
    <row r="5" ht="25" customHeight="1">
      <c r="A5" s="31" t="inlineStr">
        <is>
          <t>2. Tái chế cưỡng bức Sơn đông cứng (6.865 kg)</t>
        </is>
      </c>
      <c r="B5" s="32" t="inlineStr">
        <is>
          <t>GF1253-MC (SX-0374, SX-0385, SX-0433, SX-0445, SX-0467)</t>
        </is>
      </c>
      <c r="C5" s="33" t="inlineStr">
        <is>
          <t>RỦI RO CỰC KỲ NGHIÊM TRỌNG</t>
        </is>
      </c>
      <c r="D5" s="32" t="inlineStr">
        <is>
          <t>Hình thành vi hạt gel (seeding), tắc béc phun airless, suy giảm độ bám dính kéo đứt &lt; 5 MPa</t>
        </is>
      </c>
    </row>
    <row r="6" ht="25" customHeight="1">
      <c r="A6" s="31" t="inlineStr">
        <is>
          <t>3. Nhiễm chéo gốc nhựa (PU vào Epoxy)</t>
        </is>
      </c>
      <c r="B6" s="32" t="inlineStr">
        <is>
          <t>GF1151-MC (SX-0407: nạp 605 kg PU1K2008RAL)</t>
        </is>
      </c>
      <c r="C6" s="34" t="inlineStr">
        <is>
          <t>RỦI RO NGHIÊM TRỌNG</t>
        </is>
      </c>
      <c r="D6" s="32" t="inlineStr">
        <is>
          <t>Phân tách pha vi mô, màng sơn mất khả năng chịu hóa chất, bong tróc và phấn hóa sớm</t>
        </is>
      </c>
    </row>
    <row r="7" ht="25" customHeight="1">
      <c r="A7" s="31" t="inlineStr">
        <is>
          <t>4. Tùy tiện châm dung môi hạ độ nhớt</t>
        </is>
      </c>
      <c r="B7" s="32" t="inlineStr">
        <is>
          <t>GF1375-MC (SX-0428: +225 kg Toluen/DM GF/EAC); ZE1601-MC (SX-0511: +10kg HCS)</t>
        </is>
      </c>
      <c r="C7" s="34" t="inlineStr">
        <is>
          <t>RỦI RO TRUNG BÌNH</t>
        </is>
      </c>
      <c r="D7" s="32" t="inlineStr">
        <is>
          <t>Giảm hàm lượng rắn thể tích (VS%), màng sơn mỏng không đạt DFT quy định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2026-09-13T06:23:30Z</dcterms:created>
  <dcterms:modified xmlns:dcterms="http://purl.org/dc/terms/" xmlns:xsi="http://www.w3.org/2001/XMLSchema-instance" xsi:type="dcterms:W3CDTF">2026-09-13T06:23:30Z</dcterms:modified>
</cp:coreProperties>
</file>